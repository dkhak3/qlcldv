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D:\DKHA\BÁO CÁO TUẦN\31.08 - 06.09\"/>
    </mc:Choice>
  </mc:AlternateContent>
  <xr:revisionPtr revIDLastSave="0" documentId="13_ncr:1_{404A04AE-BD1B-435F-B420-F9BA6254516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CTH.HKVP" sheetId="13" r:id="rId1"/>
    <sheet name="BCCT.HKVP" sheetId="15" r:id="rId2"/>
  </sheets>
  <definedNames>
    <definedName name="_xlnm._FilterDatabase" localSheetId="0" hidden="1">BCTH.HKVP!#REF!</definedName>
  </definedNames>
  <calcPr calcId="191029"/>
</workbook>
</file>

<file path=xl/calcChain.xml><?xml version="1.0" encoding="utf-8"?>
<calcChain xmlns="http://schemas.openxmlformats.org/spreadsheetml/2006/main">
  <c r="T85" i="15" l="1"/>
  <c r="S85" i="15"/>
  <c r="R85" i="15"/>
  <c r="T84" i="15"/>
  <c r="S84" i="15"/>
  <c r="R84" i="15"/>
  <c r="T83" i="15"/>
  <c r="S83" i="15"/>
  <c r="R83" i="15"/>
  <c r="T82" i="15"/>
  <c r="S82" i="15"/>
  <c r="R82" i="15"/>
  <c r="T81" i="15"/>
  <c r="S81" i="15"/>
  <c r="R81" i="15"/>
  <c r="T80" i="15"/>
  <c r="S80" i="15"/>
  <c r="R80" i="15"/>
  <c r="T79" i="15"/>
  <c r="S79" i="15"/>
  <c r="R79" i="15"/>
  <c r="T78" i="15"/>
  <c r="S78" i="15"/>
  <c r="R78" i="15"/>
  <c r="T77" i="15"/>
  <c r="S77" i="15"/>
  <c r="R77" i="15"/>
  <c r="T76" i="15"/>
  <c r="S76" i="15"/>
  <c r="R76" i="15"/>
  <c r="T75" i="15"/>
  <c r="S75" i="15"/>
  <c r="R75" i="15"/>
  <c r="T74" i="15"/>
  <c r="S74" i="15"/>
  <c r="R74" i="15"/>
  <c r="T73" i="15"/>
  <c r="S73" i="15"/>
  <c r="R73" i="15"/>
  <c r="T72" i="15"/>
  <c r="S72" i="15"/>
  <c r="R72" i="15"/>
  <c r="T71" i="15"/>
  <c r="S71" i="15"/>
  <c r="R71" i="15"/>
  <c r="T70" i="15" l="1"/>
  <c r="S70" i="15"/>
  <c r="R70" i="15"/>
  <c r="T69" i="15"/>
  <c r="S69" i="15"/>
  <c r="R69" i="15"/>
  <c r="T68" i="15"/>
  <c r="S68" i="15"/>
  <c r="R68" i="15"/>
  <c r="T67" i="15"/>
  <c r="S67" i="15"/>
  <c r="R67" i="15"/>
  <c r="T66" i="15"/>
  <c r="S66" i="15"/>
  <c r="R66" i="15"/>
  <c r="T65" i="15"/>
  <c r="S65" i="15"/>
  <c r="R65" i="15"/>
  <c r="T64" i="15"/>
  <c r="S64" i="15"/>
  <c r="R64" i="15"/>
  <c r="T63" i="15"/>
  <c r="S63" i="15"/>
  <c r="R63" i="15"/>
  <c r="T62" i="15"/>
  <c r="S62" i="15"/>
  <c r="R62" i="15"/>
  <c r="T61" i="15"/>
  <c r="S61" i="15"/>
  <c r="R61" i="15"/>
  <c r="T60" i="15"/>
  <c r="S60" i="15"/>
  <c r="R60" i="15"/>
  <c r="T59" i="15"/>
  <c r="S59" i="15"/>
  <c r="R59" i="15"/>
  <c r="T58" i="15"/>
  <c r="S58" i="15"/>
  <c r="R58" i="15"/>
  <c r="T57" i="15"/>
  <c r="S57" i="15"/>
  <c r="R57" i="15"/>
  <c r="T56" i="15"/>
  <c r="S56" i="15"/>
  <c r="R56" i="15"/>
  <c r="T55" i="15" l="1"/>
  <c r="S55" i="15"/>
  <c r="R55" i="15"/>
  <c r="T54" i="15"/>
  <c r="S54" i="15"/>
  <c r="R54" i="15"/>
  <c r="T53" i="15"/>
  <c r="S53" i="15"/>
  <c r="R53" i="15"/>
  <c r="T52" i="15"/>
  <c r="S52" i="15"/>
  <c r="R52" i="15"/>
  <c r="T51" i="15"/>
  <c r="S51" i="15"/>
  <c r="R51" i="15"/>
  <c r="T50" i="15"/>
  <c r="S50" i="15"/>
  <c r="R50" i="15"/>
  <c r="T49" i="15"/>
  <c r="S49" i="15"/>
  <c r="R49" i="15"/>
  <c r="T48" i="15"/>
  <c r="S48" i="15"/>
  <c r="R48" i="15"/>
  <c r="T47" i="15"/>
  <c r="S47" i="15"/>
  <c r="R47" i="15"/>
  <c r="T46" i="15"/>
  <c r="S46" i="15"/>
  <c r="R46" i="15"/>
  <c r="T45" i="15"/>
  <c r="S45" i="15"/>
  <c r="R45" i="15"/>
  <c r="T44" i="15"/>
  <c r="S44" i="15"/>
  <c r="R44" i="15"/>
  <c r="T43" i="15"/>
  <c r="S43" i="15"/>
  <c r="R43" i="15"/>
  <c r="T42" i="15"/>
  <c r="S42" i="15"/>
  <c r="R42" i="15"/>
  <c r="T41" i="15"/>
  <c r="S41" i="15"/>
  <c r="R41" i="15"/>
  <c r="T40" i="15" l="1"/>
  <c r="S40" i="15"/>
  <c r="R40" i="15"/>
  <c r="T39" i="15"/>
  <c r="S39" i="15"/>
  <c r="R39" i="15"/>
  <c r="T38" i="15"/>
  <c r="S38" i="15"/>
  <c r="R38" i="15"/>
  <c r="T37" i="15"/>
  <c r="S37" i="15"/>
  <c r="R37" i="15"/>
  <c r="T36" i="15"/>
  <c r="S36" i="15"/>
  <c r="R36" i="15"/>
  <c r="T35" i="15"/>
  <c r="S35" i="15"/>
  <c r="R35" i="15"/>
  <c r="T34" i="15"/>
  <c r="S34" i="15"/>
  <c r="R34" i="15"/>
  <c r="T33" i="15"/>
  <c r="S33" i="15"/>
  <c r="R33" i="15"/>
  <c r="T32" i="15"/>
  <c r="S32" i="15"/>
  <c r="R32" i="15"/>
  <c r="T31" i="15"/>
  <c r="S31" i="15"/>
  <c r="R31" i="15"/>
  <c r="T30" i="15"/>
  <c r="S30" i="15"/>
  <c r="R30" i="15"/>
  <c r="T29" i="15"/>
  <c r="S29" i="15"/>
  <c r="R29" i="15"/>
  <c r="T28" i="15" l="1"/>
  <c r="S28" i="15"/>
  <c r="R28" i="15"/>
  <c r="T27" i="15"/>
  <c r="S27" i="15"/>
  <c r="R27" i="15"/>
  <c r="T26" i="15"/>
  <c r="S26" i="15"/>
  <c r="R26" i="15"/>
  <c r="T25" i="15"/>
  <c r="S25" i="15"/>
  <c r="R25" i="15"/>
  <c r="T24" i="15"/>
  <c r="S24" i="15"/>
  <c r="R24" i="15"/>
  <c r="T23" i="15"/>
  <c r="S23" i="15"/>
  <c r="R23" i="15"/>
  <c r="T22" i="15"/>
  <c r="S22" i="15"/>
  <c r="R22" i="15"/>
  <c r="T21" i="15"/>
  <c r="S21" i="15"/>
  <c r="R21" i="15"/>
  <c r="T20" i="15"/>
  <c r="S20" i="15"/>
  <c r="R20" i="15"/>
  <c r="T19" i="15"/>
  <c r="S19" i="15"/>
  <c r="R19" i="15"/>
  <c r="T18" i="15" l="1"/>
  <c r="S18" i="15"/>
  <c r="R18" i="15"/>
  <c r="T17" i="15"/>
  <c r="S17" i="15"/>
  <c r="R17" i="15"/>
  <c r="T16" i="15"/>
  <c r="S16" i="15"/>
  <c r="R16" i="15"/>
  <c r="T15" i="15"/>
  <c r="S15" i="15"/>
  <c r="R15" i="15"/>
  <c r="T14" i="15"/>
  <c r="S14" i="15"/>
  <c r="R14" i="15"/>
  <c r="T13" i="15"/>
  <c r="S13" i="15"/>
  <c r="R13" i="15"/>
  <c r="T12" i="15"/>
  <c r="S12" i="15"/>
  <c r="R12" i="15"/>
  <c r="T11" i="15"/>
  <c r="S11" i="15"/>
  <c r="R11" i="15"/>
  <c r="T10" i="15"/>
  <c r="S10" i="15"/>
  <c r="R10" i="15"/>
  <c r="T9" i="15"/>
  <c r="S9" i="15"/>
  <c r="R9" i="15"/>
  <c r="D8" i="13" l="1"/>
  <c r="D9" i="13"/>
  <c r="D10" i="13"/>
  <c r="D11" i="13"/>
  <c r="D12" i="13"/>
  <c r="D7" i="13"/>
  <c r="E13" i="13"/>
  <c r="F13" i="13"/>
  <c r="G13" i="13"/>
  <c r="D13" i="13" l="1"/>
</calcChain>
</file>

<file path=xl/sharedStrings.xml><?xml version="1.0" encoding="utf-8"?>
<sst xmlns="http://schemas.openxmlformats.org/spreadsheetml/2006/main" count="679" uniqueCount="120">
  <si>
    <t>STT</t>
  </si>
  <si>
    <t>TỔNG HỢP BÁO CÁO GHI NHẬN VI PHẠM</t>
  </si>
  <si>
    <t>Tổng</t>
  </si>
  <si>
    <t>Ghi nhận chi tiết</t>
  </si>
  <si>
    <t>2. Khó khăn/ đề xuất</t>
  </si>
  <si>
    <t>1. Công việc hậu kiểm vi phạm</t>
  </si>
  <si>
    <t>Tài chính</t>
  </si>
  <si>
    <t>CLDV</t>
  </si>
  <si>
    <t>ATGT</t>
  </si>
  <si>
    <t>Phòng Quản lý Chất Lượng - Futa CityBus</t>
  </si>
  <si>
    <t>Đạt đánh dấu</t>
  </si>
  <si>
    <t>Ö</t>
  </si>
  <si>
    <t>Vào các ô hạng mục kiểm tra</t>
  </si>
  <si>
    <t>Chưa đạt đánh dấu</t>
  </si>
  <si>
    <t>X</t>
  </si>
  <si>
    <t>TUYẾN</t>
  </si>
  <si>
    <t>THỜI GIAN CHUYẾN 
KIỂM TRA</t>
  </si>
  <si>
    <t>NHÂN VIÊN TRÊN PHƯƠNG TIỆN</t>
  </si>
  <si>
    <t>TÀI CHÍNH</t>
  </si>
  <si>
    <t>GHI CHÚ</t>
  </si>
  <si>
    <t>SỐ LƯỢNG KIỂM TRA THỰC TẾ</t>
  </si>
  <si>
    <t>SẢN LƯỢNG BÁO CÁO</t>
  </si>
  <si>
    <t>CHÊNH LỆCH</t>
  </si>
  <si>
    <t>GIỜ XUẤT BẾN</t>
  </si>
  <si>
    <t>GIỜ VỀ BẾN</t>
  </si>
  <si>
    <t>NGÀY</t>
  </si>
  <si>
    <t>LÁI XE</t>
  </si>
  <si>
    <t>TIẾP VIÊN</t>
  </si>
  <si>
    <t>HÀNH KHÁCH</t>
  </si>
  <si>
    <t>HÀNH LÝ</t>
  </si>
  <si>
    <t>VÉ MIỄN</t>
  </si>
  <si>
    <t xml:space="preserve">VÉ MIỄN </t>
  </si>
  <si>
    <t>Chi nhánh</t>
  </si>
  <si>
    <t>Số lượng vi phạm</t>
  </si>
  <si>
    <t>Tuyến</t>
  </si>
  <si>
    <t xml:space="preserve">a) Nội dung khó khăn: </t>
  </si>
  <si>
    <t>CHI NHÁNH</t>
  </si>
  <si>
    <t>Mã hiệu: FCB/QLCL/QT02/M02
Lần ban hành: 03
Ngày hiệu lực: 16/03/2026</t>
  </si>
  <si>
    <t>CHẤT LƯỢNG DỊCH VỤ
(Đính kèm phụ lục lỗi)</t>
  </si>
  <si>
    <t>AN TOÀN GIAO THÔNG
(Đính kèm phụ lục lỗi)</t>
  </si>
  <si>
    <t>Không có tiếp viên</t>
  </si>
  <si>
    <t>OK</t>
  </si>
  <si>
    <t>Họ &amp; tên nhân viên kiểm tra: Nguyễn Hữu Duy Kha</t>
  </si>
  <si>
    <t>SỐ XE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</si>
  <si>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 xml:space="preserve">(Từ ngày 31/08/2026 đến ngày 06/09/2026) </t>
    </r>
  </si>
  <si>
    <t xml:space="preserve">BÁO CÁO CÔNG VIỆC BỘ PHẬN QUẢN LÝ CLDV CITYBUS
(Từ ngày 31/08/2026 đến ngày 06/09/2026) </t>
  </si>
  <si>
    <t>BẠC LIÊU</t>
  </si>
  <si>
    <t>(01) Phú Lộc - Cà Mau</t>
  </si>
  <si>
    <t>50E84303</t>
  </si>
  <si>
    <t>Hứa Văn Dự Em</t>
  </si>
  <si>
    <t>50E84204</t>
  </si>
  <si>
    <t>Tạ Hoàng Đức Thắng</t>
  </si>
  <si>
    <t>50E84200</t>
  </si>
  <si>
    <t>Lý Huỳnh Sơn</t>
  </si>
  <si>
    <t>50E84146</t>
  </si>
  <si>
    <t>Lâm Chấn Cường</t>
  </si>
  <si>
    <t>50E56138</t>
  </si>
  <si>
    <t>Trần Hữu Tài</t>
  </si>
  <si>
    <t>ĐỒNG THÁP</t>
  </si>
  <si>
    <t>(664) Cao Lãnh - Trường Xuân</t>
  </si>
  <si>
    <t>50F04414</t>
  </si>
  <si>
    <t>Nguyễn Thanh Quang</t>
  </si>
  <si>
    <t>50F04411</t>
  </si>
  <si>
    <t>Trần Cường Em</t>
  </si>
  <si>
    <t>1 Thẻ tháng (10:41:15)</t>
  </si>
  <si>
    <t>50F04409</t>
  </si>
  <si>
    <t>Vũ Ngọc Hùng</t>
  </si>
  <si>
    <t>1 Thẻ tháng (12:02:33)</t>
  </si>
  <si>
    <t>50F04408</t>
  </si>
  <si>
    <t>Phạm Văn Nghị</t>
  </si>
  <si>
    <t>50F04001</t>
  </si>
  <si>
    <t xml:space="preserve"> 05:10 </t>
  </si>
  <si>
    <t>Võ Trường Sơn</t>
  </si>
  <si>
    <t>4 Thẻ tháng (05:22:34, 05:26:06, 05:50:15, 05:54:03)</t>
  </si>
  <si>
    <t xml:space="preserve">(661) Cao Lãnh  - Vĩnh Long </t>
  </si>
  <si>
    <t>50F04021</t>
  </si>
  <si>
    <t>Nguyễn Trường Vũ</t>
  </si>
  <si>
    <t>1 Thẻ tháng (06:14:21)</t>
  </si>
  <si>
    <t>50F04015</t>
  </si>
  <si>
    <t>Huỳnh Phước Thuận</t>
  </si>
  <si>
    <t>50F04012</t>
  </si>
  <si>
    <t>Đinh Công Bằng</t>
  </si>
  <si>
    <t>50F04010</t>
  </si>
  <si>
    <t>Huỳnh Anh Tân</t>
  </si>
  <si>
    <t>50F04005</t>
  </si>
  <si>
    <t>Nguyễn Đồng Tháp</t>
  </si>
  <si>
    <t>50F04004</t>
  </si>
  <si>
    <t>Ngô Minh Hiếu</t>
  </si>
  <si>
    <t>(05) Bạc Liêu - Cầu Đỏ</t>
  </si>
  <si>
    <t>50E85140</t>
  </si>
  <si>
    <t>Trần Bảo</t>
  </si>
  <si>
    <t>(04) Bạc Liêu - Phước Long</t>
  </si>
  <si>
    <t>50E85043</t>
  </si>
  <si>
    <t>Lê Tiến Sĩ</t>
  </si>
  <si>
    <t>Lái xe để dụng cụ vệ sinh không gọn gàng (để thùng nước và cây lau nhà ở cửa lên, xuống)</t>
  </si>
  <si>
    <t>50E84922</t>
  </si>
  <si>
    <t>Trần Minh Thuận</t>
  </si>
  <si>
    <t>50E84921</t>
  </si>
  <si>
    <t>Cao Văn Hậu</t>
  </si>
  <si>
    <t>50E84906</t>
  </si>
  <si>
    <t>(668) Cao Lãnh - Tân Hồng</t>
  </si>
  <si>
    <t>50F04471</t>
  </si>
  <si>
    <t>Nguyễn Hữu Danh</t>
  </si>
  <si>
    <t>5 Thẻ tháng (05:40:27, 06:00:17, 06:00:28, 06:10:56, 06:21:33)</t>
  </si>
  <si>
    <t>3 Thẻ tháng (16:50:56, 16:52:38, 17:41:57)</t>
  </si>
  <si>
    <t>50F04469</t>
  </si>
  <si>
    <t>50F04478</t>
  </si>
  <si>
    <t>Lê Bùi Như Ý</t>
  </si>
  <si>
    <t>50F04467</t>
  </si>
  <si>
    <t>Võ Thanh Nhàn</t>
  </si>
  <si>
    <t>50F04466</t>
  </si>
  <si>
    <t>Nguyễn Minh Phú</t>
  </si>
  <si>
    <t>50F04464</t>
  </si>
  <si>
    <t>Lê Tấn Tài</t>
  </si>
  <si>
    <t>50F04459</t>
  </si>
  <si>
    <t>Lê Hoàng Triều</t>
  </si>
  <si>
    <t>Đặng Nguyễn Quang Duy</t>
  </si>
  <si>
    <r>
      <t>Lái xe thu tiền nhưng không xuất vé cho Khách (Thu tiền 2 vé HK mỗi vé 58k, nhưng chỉ xuất 1 vé HK 58k, chênh lệch 58k)</t>
    </r>
    <r>
      <rPr>
        <b/>
        <sz val="13"/>
        <rFont val="Times New Roman"/>
        <family val="1"/>
      </rPr>
      <t xml:space="preserve">
Xuất dư 1 vé Miễn (16:24:10)</t>
    </r>
  </si>
  <si>
    <t>Nguyễn Thanh Toàn</t>
  </si>
  <si>
    <t>Trần Văn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</si>
</sst>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yy;@"/>
  </numFmts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color indexed="8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3"/>
      <name val="Times New Roman"/>
      <family val="1"/>
    </font>
    <font>
      <b/>
      <sz val="13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3"/>
      <name val="Times New Roman"/>
      <family val="1"/>
    </font>
    <font>
      <b/>
      <i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  <font>
      <sz val="22"/>
      <color theme="1"/>
      <name val="Times New Roman"/>
      <family val="1"/>
    </font>
    <font>
      <b/>
      <sz val="13"/>
      <name val="Times New Roman"/>
      <family val="1"/>
    </font>
    <font>
      <b/>
      <sz val="22"/>
      <color theme="1"/>
      <name val="Times New Roman"/>
      <family val="1"/>
    </font>
    <font>
      <b/>
      <sz val="13"/>
      <name val="Symbol"/>
      <family val="1"/>
      <charset val="2"/>
    </font>
    <font>
      <sz val="13"/>
      <name val="Times New Roman"/>
      <family val="1"/>
    </font>
    <font>
      <b/>
      <sz val="14"/>
      <color theme="1"/>
      <name val="Times New Roman"/>
      <family val="1"/>
    </font>
    <font>
      <sz val="22"/>
      <color rgb="FFFF0000"/>
      <name val="Times New Roman"/>
      <family val="1"/>
    </font>
    <font>
      <sz val="11"/>
      <color theme="1"/>
      <name val="Times New Roman"/>
      <family val="1"/>
    </font>
    <font>
      <b/>
      <sz val="13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9" fontId="4" fillId="0" borderId="0" applyFill="0" applyBorder="0" applyProtection="0"/>
    <xf numFmtId="0" fontId="3" fillId="0" borderId="0"/>
    <xf numFmtId="0" fontId="2" fillId="0" borderId="0"/>
    <xf numFmtId="164" fontId="1" fillId="0" borderId="0" applyFont="0" applyFill="0" applyBorder="0" applyAlignment="0" applyProtection="0"/>
  </cellStyleXfs>
  <cellXfs count="68">
    <xf numFmtId="0" fontId="0" fillId="0" borderId="0" xfId="0" applyFont="1" applyAlignment="1"/>
    <xf numFmtId="0" fontId="0" fillId="0" borderId="0" xfId="0" applyFont="1" applyAlignment="1">
      <alignment wrapText="1"/>
    </xf>
    <xf numFmtId="0" fontId="18" fillId="4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1" fillId="4" borderId="0" xfId="0" applyFont="1" applyFill="1" applyAlignment="1">
      <alignment vertical="center"/>
    </xf>
    <xf numFmtId="164" fontId="21" fillId="0" borderId="0" xfId="6" applyFont="1" applyAlignment="1">
      <alignment vertical="center"/>
    </xf>
    <xf numFmtId="0" fontId="27" fillId="0" borderId="0" xfId="0" applyFont="1" applyAlignment="1">
      <alignment horizontal="left" vertical="center"/>
    </xf>
    <xf numFmtId="0" fontId="2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1" fontId="25" fillId="10" borderId="1" xfId="0" applyNumberFormat="1" applyFont="1" applyFill="1" applyBorder="1" applyAlignment="1">
      <alignment horizontal="center" vertical="center" wrapText="1"/>
    </xf>
    <xf numFmtId="11" fontId="25" fillId="10" borderId="1" xfId="0" applyNumberFormat="1" applyFont="1" applyFill="1" applyBorder="1" applyAlignment="1">
      <alignment horizontal="left" vertical="center" wrapText="1"/>
    </xf>
    <xf numFmtId="20" fontId="25" fillId="10" borderId="1" xfId="0" applyNumberFormat="1" applyFont="1" applyFill="1" applyBorder="1" applyAlignment="1">
      <alignment horizontal="center" vertical="center" wrapText="1"/>
    </xf>
    <xf numFmtId="14" fontId="19" fillId="4" borderId="1" xfId="0" applyNumberFormat="1" applyFont="1" applyFill="1" applyBorder="1" applyAlignment="1">
      <alignment horizontal="center" vertical="center"/>
    </xf>
    <xf numFmtId="11" fontId="22" fillId="10" borderId="1" xfId="0" applyNumberFormat="1" applyFont="1" applyFill="1" applyBorder="1" applyAlignment="1">
      <alignment vertical="center" wrapText="1"/>
    </xf>
    <xf numFmtId="0" fontId="28" fillId="4" borderId="0" xfId="0" applyFont="1" applyFill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center" vertical="center"/>
    </xf>
    <xf numFmtId="11" fontId="29" fillId="10" borderId="1" xfId="0" applyNumberFormat="1" applyFont="1" applyFill="1" applyBorder="1" applyAlignment="1">
      <alignment vertical="center" wrapText="1"/>
    </xf>
  </cellXfs>
  <cellStyles count="7">
    <cellStyle name="Comma [0] 2" xfId="6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5" xr:uid="{00000000-0005-0000-0000-000005000000}"/>
    <cellStyle name="Percent 2" xfId="3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1000126</xdr:colOff>
      <xdr:row>1</xdr:row>
      <xdr:rowOff>238124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475A1-75B4-4825-BBD9-6D860E85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7451" cy="657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59871</xdr:rowOff>
    </xdr:from>
    <xdr:to>
      <xdr:col>2</xdr:col>
      <xdr:colOff>4014107</xdr:colOff>
      <xdr:row>0</xdr:row>
      <xdr:rowOff>678996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8758B-0BA2-4E6E-A083-E8D7E7548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1"/>
          <a:ext cx="5674178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sqref="A1:G2"/>
    </sheetView>
  </sheetViews>
  <sheetFormatPr defaultRowHeight="12.75" x14ac:dyDescent="0.2"/>
  <cols>
    <col min="1" max="1" width="5.140625" customWidth="1"/>
    <col min="2" max="2" width="16.7109375" customWidth="1"/>
    <col min="3" max="3" width="56" bestFit="1" customWidth="1"/>
    <col min="4" max="4" width="23.140625" customWidth="1"/>
    <col min="5" max="5" width="19.7109375" customWidth="1"/>
    <col min="6" max="6" width="22.7109375" bestFit="1" customWidth="1"/>
    <col min="7" max="7" width="26.140625" customWidth="1"/>
  </cols>
  <sheetData>
    <row r="1" spans="1:7" s="1" customFormat="1" ht="33" customHeight="1" x14ac:dyDescent="0.2">
      <c r="A1" s="37" t="s">
        <v>44</v>
      </c>
      <c r="B1" s="37"/>
      <c r="C1" s="37"/>
      <c r="D1" s="37"/>
      <c r="E1" s="37"/>
      <c r="F1" s="37"/>
      <c r="G1" s="37"/>
    </row>
    <row r="2" spans="1:7" s="1" customFormat="1" ht="24" customHeight="1" x14ac:dyDescent="0.2">
      <c r="A2" s="37"/>
      <c r="B2" s="37"/>
      <c r="C2" s="37"/>
      <c r="D2" s="37"/>
      <c r="E2" s="37"/>
      <c r="F2" s="37"/>
      <c r="G2" s="37"/>
    </row>
    <row r="3" spans="1:7" s="1" customFormat="1" ht="27.75" customHeight="1" x14ac:dyDescent="0.2">
      <c r="A3" s="43" t="s">
        <v>1</v>
      </c>
      <c r="B3" s="43"/>
      <c r="C3" s="43"/>
      <c r="D3" s="43"/>
      <c r="E3" s="43"/>
      <c r="F3" s="43"/>
      <c r="G3" s="43"/>
    </row>
    <row r="4" spans="1:7" s="1" customFormat="1" ht="24.95" customHeight="1" x14ac:dyDescent="0.2">
      <c r="A4" s="42" t="s">
        <v>5</v>
      </c>
      <c r="B4" s="42"/>
      <c r="C4" s="42"/>
      <c r="D4" s="42"/>
      <c r="E4" s="42"/>
      <c r="F4" s="42"/>
      <c r="G4" s="42"/>
    </row>
    <row r="5" spans="1:7" s="1" customFormat="1" ht="22.5" customHeight="1" x14ac:dyDescent="0.2">
      <c r="A5" s="40" t="s">
        <v>0</v>
      </c>
      <c r="B5" s="35" t="s">
        <v>32</v>
      </c>
      <c r="C5" s="35" t="s">
        <v>34</v>
      </c>
      <c r="D5" s="40" t="s">
        <v>33</v>
      </c>
      <c r="E5" s="40" t="s">
        <v>3</v>
      </c>
      <c r="F5" s="40"/>
      <c r="G5" s="40"/>
    </row>
    <row r="6" spans="1:7" s="1" customFormat="1" ht="20.25" customHeight="1" x14ac:dyDescent="0.2">
      <c r="A6" s="40"/>
      <c r="B6" s="36"/>
      <c r="C6" s="36"/>
      <c r="D6" s="40"/>
      <c r="E6" s="5" t="s">
        <v>6</v>
      </c>
      <c r="F6" s="3" t="s">
        <v>8</v>
      </c>
      <c r="G6" s="3" t="s">
        <v>7</v>
      </c>
    </row>
    <row r="7" spans="1:7" s="9" customFormat="1" ht="20.100000000000001" customHeight="1" x14ac:dyDescent="0.2">
      <c r="A7" s="8">
        <v>1</v>
      </c>
      <c r="B7" s="28" t="s">
        <v>46</v>
      </c>
      <c r="C7" s="29" t="s">
        <v>47</v>
      </c>
      <c r="D7" s="27">
        <f>SUM(E7:G7)</f>
        <v>1</v>
      </c>
      <c r="E7" s="2">
        <v>1</v>
      </c>
      <c r="F7" s="2"/>
      <c r="G7" s="4"/>
    </row>
    <row r="8" spans="1:7" s="9" customFormat="1" ht="20.100000000000001" customHeight="1" x14ac:dyDescent="0.2">
      <c r="A8" s="8">
        <v>2</v>
      </c>
      <c r="B8" s="28" t="s">
        <v>46</v>
      </c>
      <c r="C8" s="29" t="s">
        <v>91</v>
      </c>
      <c r="D8" s="27">
        <f t="shared" ref="D8:D12" si="0">SUM(E8:G8)</f>
        <v>1</v>
      </c>
      <c r="E8" s="2"/>
      <c r="F8" s="2"/>
      <c r="G8" s="4">
        <v>1</v>
      </c>
    </row>
    <row r="9" spans="1:7" s="9" customFormat="1" ht="20.100000000000001" customHeight="1" x14ac:dyDescent="0.2">
      <c r="A9" s="8">
        <v>3</v>
      </c>
      <c r="B9" s="28" t="s">
        <v>46</v>
      </c>
      <c r="C9" s="29" t="s">
        <v>88</v>
      </c>
      <c r="D9" s="27">
        <f t="shared" si="0"/>
        <v>0</v>
      </c>
      <c r="E9" s="2"/>
      <c r="F9" s="2"/>
      <c r="G9" s="4"/>
    </row>
    <row r="10" spans="1:7" s="9" customFormat="1" ht="20.100000000000001" customHeight="1" x14ac:dyDescent="0.2">
      <c r="A10" s="8">
        <v>4</v>
      </c>
      <c r="B10" s="28" t="s">
        <v>58</v>
      </c>
      <c r="C10" s="29" t="s">
        <v>74</v>
      </c>
      <c r="D10" s="27">
        <f t="shared" si="0"/>
        <v>0</v>
      </c>
      <c r="E10" s="2"/>
      <c r="F10" s="2"/>
      <c r="G10" s="4"/>
    </row>
    <row r="11" spans="1:7" s="9" customFormat="1" ht="20.100000000000001" customHeight="1" x14ac:dyDescent="0.2">
      <c r="A11" s="8">
        <v>5</v>
      </c>
      <c r="B11" s="28" t="s">
        <v>58</v>
      </c>
      <c r="C11" s="29" t="s">
        <v>59</v>
      </c>
      <c r="D11" s="27">
        <f t="shared" si="0"/>
        <v>0</v>
      </c>
      <c r="E11" s="2"/>
      <c r="F11" s="2"/>
      <c r="G11" s="4"/>
    </row>
    <row r="12" spans="1:7" s="9" customFormat="1" ht="20.100000000000001" customHeight="1" x14ac:dyDescent="0.2">
      <c r="A12" s="8">
        <v>6</v>
      </c>
      <c r="B12" s="28" t="s">
        <v>58</v>
      </c>
      <c r="C12" s="29" t="s">
        <v>100</v>
      </c>
      <c r="D12" s="27">
        <f t="shared" si="0"/>
        <v>0</v>
      </c>
      <c r="E12" s="2"/>
      <c r="F12" s="2"/>
      <c r="G12" s="4"/>
    </row>
    <row r="13" spans="1:7" s="1" customFormat="1" ht="24.95" customHeight="1" x14ac:dyDescent="0.2">
      <c r="A13" s="44" t="s">
        <v>2</v>
      </c>
      <c r="B13" s="45"/>
      <c r="C13" s="46"/>
      <c r="D13" s="7">
        <f>SUM(D7:D12)</f>
        <v>2</v>
      </c>
      <c r="E13" s="7">
        <f>SUM(E7:E12)</f>
        <v>1</v>
      </c>
      <c r="F13" s="7">
        <f>SUM(F7:F12)</f>
        <v>0</v>
      </c>
      <c r="G13" s="7">
        <f>SUM(G7:G12)</f>
        <v>1</v>
      </c>
    </row>
    <row r="14" spans="1:7" s="1" customFormat="1" ht="24.95" customHeight="1" x14ac:dyDescent="0.2">
      <c r="A14" s="41" t="s">
        <v>4</v>
      </c>
      <c r="B14" s="41"/>
      <c r="C14" s="41"/>
      <c r="D14" s="41"/>
      <c r="E14" s="41"/>
      <c r="F14" s="41"/>
      <c r="G14" s="41"/>
    </row>
    <row r="15" spans="1:7" ht="12.75" customHeight="1" x14ac:dyDescent="0.2">
      <c r="A15" s="38" t="s">
        <v>35</v>
      </c>
      <c r="B15" s="38"/>
      <c r="C15" s="39"/>
      <c r="D15" s="39"/>
      <c r="E15" s="38"/>
      <c r="F15" s="38"/>
      <c r="G15" s="38"/>
    </row>
    <row r="16" spans="1:7" ht="12.75" customHeight="1" x14ac:dyDescent="0.2">
      <c r="A16" s="39"/>
      <c r="B16" s="39"/>
      <c r="C16" s="39"/>
      <c r="D16" s="39"/>
      <c r="E16" s="38"/>
      <c r="F16" s="38"/>
      <c r="G16" s="38"/>
    </row>
    <row r="17" spans="1:7" ht="12.75" customHeight="1" x14ac:dyDescent="0.2">
      <c r="A17" s="39"/>
      <c r="B17" s="39"/>
      <c r="C17" s="39"/>
      <c r="D17" s="39"/>
      <c r="E17" s="38"/>
      <c r="F17" s="38"/>
      <c r="G17" s="38"/>
    </row>
    <row r="18" spans="1:7" ht="12.75" customHeight="1" x14ac:dyDescent="0.2">
      <c r="A18" s="39"/>
      <c r="B18" s="39"/>
      <c r="C18" s="39"/>
      <c r="D18" s="39"/>
      <c r="E18" s="38"/>
      <c r="F18" s="38"/>
      <c r="G18" s="38"/>
    </row>
    <row r="19" spans="1:7" ht="12.75" customHeight="1" x14ac:dyDescent="0.2">
      <c r="A19" s="39"/>
      <c r="B19" s="39"/>
      <c r="C19" s="39"/>
      <c r="D19" s="39"/>
      <c r="E19" s="38"/>
      <c r="F19" s="38"/>
      <c r="G19" s="38"/>
    </row>
    <row r="20" spans="1:7" ht="12.75" customHeight="1" x14ac:dyDescent="0.2">
      <c r="A20" s="39"/>
      <c r="B20" s="39"/>
      <c r="C20" s="39"/>
      <c r="D20" s="39"/>
      <c r="E20" s="38"/>
      <c r="F20" s="38"/>
      <c r="G20" s="38"/>
    </row>
    <row r="21" spans="1:7" ht="12.75" customHeight="1" x14ac:dyDescent="0.2">
      <c r="A21" s="39"/>
      <c r="B21" s="39"/>
      <c r="C21" s="39"/>
      <c r="D21" s="39"/>
      <c r="E21" s="38"/>
      <c r="F21" s="38"/>
      <c r="G21" s="38"/>
    </row>
    <row r="22" spans="1:7" ht="26.25" customHeight="1" x14ac:dyDescent="0.2">
      <c r="A22" s="39"/>
      <c r="B22" s="39"/>
      <c r="C22" s="39"/>
      <c r="D22" s="39"/>
      <c r="E22" s="38"/>
      <c r="F22" s="38"/>
      <c r="G22" s="38"/>
    </row>
  </sheetData>
  <mergeCells count="12">
    <mergeCell ref="B5:B6"/>
    <mergeCell ref="A1:G2"/>
    <mergeCell ref="A15:D22"/>
    <mergeCell ref="A5:A6"/>
    <mergeCell ref="E15:G22"/>
    <mergeCell ref="A14:G14"/>
    <mergeCell ref="A4:G4"/>
    <mergeCell ref="A3:G3"/>
    <mergeCell ref="C5:C6"/>
    <mergeCell ref="D5:D6"/>
    <mergeCell ref="E5:G5"/>
    <mergeCell ref="A13:C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4C9A-045E-4436-B84E-0DEA88D682C0}">
  <dimension ref="A1:U85"/>
  <sheetViews>
    <sheetView zoomScale="55" zoomScaleNormal="55" workbookViewId="0">
      <selection activeCell="D1" sqref="D1:R1"/>
    </sheetView>
  </sheetViews>
  <sheetFormatPr defaultColWidth="9.140625" defaultRowHeight="66.75" customHeight="1" x14ac:dyDescent="0.2"/>
  <cols>
    <col min="1" max="1" width="7.140625" style="14" customWidth="1"/>
    <col min="2" max="2" width="17.7109375" style="14" customWidth="1"/>
    <col min="3" max="3" width="70.5703125" style="20" customWidth="1"/>
    <col min="4" max="4" width="13.140625" style="21" customWidth="1"/>
    <col min="5" max="5" width="10.28515625" style="21" customWidth="1"/>
    <col min="6" max="6" width="9" style="14" bestFit="1" customWidth="1"/>
    <col min="7" max="7" width="13.85546875" style="22" customWidth="1"/>
    <col min="8" max="8" width="29" style="23" customWidth="1"/>
    <col min="9" max="9" width="32" style="14" customWidth="1"/>
    <col min="10" max="10" width="16.7109375" style="24" customWidth="1"/>
    <col min="11" max="11" width="16.7109375" style="14" customWidth="1"/>
    <col min="12" max="17" width="11.140625" style="14" customWidth="1"/>
    <col min="18" max="20" width="11.140625" style="23" customWidth="1"/>
    <col min="21" max="21" width="152.28515625" style="25" customWidth="1"/>
    <col min="22" max="16384" width="9.140625" style="14"/>
  </cols>
  <sheetData>
    <row r="1" spans="1:21" ht="57.75" customHeight="1" x14ac:dyDescent="0.2">
      <c r="A1" s="56"/>
      <c r="B1" s="57"/>
      <c r="C1" s="58"/>
      <c r="D1" s="59" t="s">
        <v>45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  <c r="S1" s="62" t="s">
        <v>37</v>
      </c>
      <c r="T1" s="63"/>
      <c r="U1" s="64"/>
    </row>
    <row r="2" spans="1:21" ht="27.75" x14ac:dyDescent="0.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s="15" customFormat="1" ht="27" customHeight="1" x14ac:dyDescent="0.2">
      <c r="A3" s="47" t="s">
        <v>42</v>
      </c>
      <c r="B3" s="47"/>
      <c r="C3" s="47"/>
      <c r="D3" s="47"/>
      <c r="E3" s="47"/>
      <c r="F3" s="47"/>
      <c r="G3" s="47"/>
      <c r="H3" s="47"/>
      <c r="I3" s="65" t="s">
        <v>9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27.75" x14ac:dyDescent="0.2">
      <c r="A4" s="16" t="s">
        <v>10</v>
      </c>
      <c r="B4" s="16"/>
      <c r="C4" s="12" t="s">
        <v>11</v>
      </c>
      <c r="D4" s="47" t="s">
        <v>12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ht="27.75" x14ac:dyDescent="0.2">
      <c r="A5" s="48" t="s">
        <v>13</v>
      </c>
      <c r="B5" s="48"/>
      <c r="C5" s="17" t="s">
        <v>14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ht="27.75" x14ac:dyDescent="0.2">
      <c r="A6" s="49" t="s">
        <v>0</v>
      </c>
      <c r="B6" s="49" t="s">
        <v>36</v>
      </c>
      <c r="C6" s="49" t="s">
        <v>15</v>
      </c>
      <c r="D6" s="49" t="s">
        <v>43</v>
      </c>
      <c r="E6" s="50" t="s">
        <v>16</v>
      </c>
      <c r="F6" s="50"/>
      <c r="G6" s="50"/>
      <c r="H6" s="50" t="s">
        <v>17</v>
      </c>
      <c r="I6" s="50"/>
      <c r="J6" s="51" t="s">
        <v>38</v>
      </c>
      <c r="K6" s="51" t="s">
        <v>39</v>
      </c>
      <c r="L6" s="50" t="s">
        <v>18</v>
      </c>
      <c r="M6" s="50"/>
      <c r="N6" s="50"/>
      <c r="O6" s="50"/>
      <c r="P6" s="50"/>
      <c r="Q6" s="50"/>
      <c r="R6" s="50"/>
      <c r="S6" s="50"/>
      <c r="T6" s="50"/>
      <c r="U6" s="54" t="s">
        <v>19</v>
      </c>
    </row>
    <row r="7" spans="1:21" s="18" customFormat="1" ht="36" customHeight="1" x14ac:dyDescent="0.2">
      <c r="A7" s="49"/>
      <c r="B7" s="49"/>
      <c r="C7" s="49"/>
      <c r="D7" s="49"/>
      <c r="E7" s="50"/>
      <c r="F7" s="50"/>
      <c r="G7" s="50"/>
      <c r="H7" s="50"/>
      <c r="I7" s="50"/>
      <c r="J7" s="52"/>
      <c r="K7" s="52"/>
      <c r="L7" s="55" t="s">
        <v>20</v>
      </c>
      <c r="M7" s="55"/>
      <c r="N7" s="55"/>
      <c r="O7" s="55" t="s">
        <v>21</v>
      </c>
      <c r="P7" s="55"/>
      <c r="Q7" s="55"/>
      <c r="R7" s="55" t="s">
        <v>22</v>
      </c>
      <c r="S7" s="55"/>
      <c r="T7" s="55"/>
      <c r="U7" s="54"/>
    </row>
    <row r="8" spans="1:21" s="18" customFormat="1" ht="49.5" x14ac:dyDescent="0.2">
      <c r="A8" s="49"/>
      <c r="B8" s="49"/>
      <c r="C8" s="49"/>
      <c r="D8" s="49"/>
      <c r="E8" s="10" t="s">
        <v>23</v>
      </c>
      <c r="F8" s="10" t="s">
        <v>24</v>
      </c>
      <c r="G8" s="19" t="s">
        <v>25</v>
      </c>
      <c r="H8" s="6" t="s">
        <v>26</v>
      </c>
      <c r="I8" s="10" t="s">
        <v>27</v>
      </c>
      <c r="J8" s="53"/>
      <c r="K8" s="53"/>
      <c r="L8" s="10" t="s">
        <v>28</v>
      </c>
      <c r="M8" s="10" t="s">
        <v>29</v>
      </c>
      <c r="N8" s="11" t="s">
        <v>30</v>
      </c>
      <c r="O8" s="10" t="s">
        <v>28</v>
      </c>
      <c r="P8" s="10" t="s">
        <v>29</v>
      </c>
      <c r="Q8" s="10" t="s">
        <v>31</v>
      </c>
      <c r="R8" s="10" t="s">
        <v>28</v>
      </c>
      <c r="S8" s="10" t="s">
        <v>29</v>
      </c>
      <c r="T8" s="11" t="s">
        <v>30</v>
      </c>
      <c r="U8" s="54"/>
    </row>
    <row r="9" spans="1:21" s="33" customFormat="1" ht="32.25" customHeight="1" x14ac:dyDescent="0.2">
      <c r="A9" s="26">
        <v>1</v>
      </c>
      <c r="B9" s="28" t="s">
        <v>46</v>
      </c>
      <c r="C9" s="29" t="s">
        <v>47</v>
      </c>
      <c r="D9" s="28" t="s">
        <v>48</v>
      </c>
      <c r="E9" s="30">
        <v>0.30555555555555552</v>
      </c>
      <c r="F9" s="30">
        <v>0.44444444444444442</v>
      </c>
      <c r="G9" s="31">
        <v>46264</v>
      </c>
      <c r="H9" s="29" t="s">
        <v>49</v>
      </c>
      <c r="I9" s="29" t="s">
        <v>40</v>
      </c>
      <c r="J9" s="12" t="s">
        <v>11</v>
      </c>
      <c r="K9" s="12" t="s">
        <v>11</v>
      </c>
      <c r="L9" s="13">
        <v>16</v>
      </c>
      <c r="M9" s="13">
        <v>2</v>
      </c>
      <c r="N9" s="13">
        <v>0</v>
      </c>
      <c r="O9" s="13">
        <v>16</v>
      </c>
      <c r="P9" s="13">
        <v>2</v>
      </c>
      <c r="Q9" s="13">
        <v>0</v>
      </c>
      <c r="R9" s="13">
        <f>O9-L9</f>
        <v>0</v>
      </c>
      <c r="S9" s="13">
        <f t="shared" ref="S9:T24" si="0">P9-M9</f>
        <v>0</v>
      </c>
      <c r="T9" s="13">
        <f t="shared" si="0"/>
        <v>0</v>
      </c>
      <c r="U9" s="32" t="s">
        <v>41</v>
      </c>
    </row>
    <row r="10" spans="1:21" s="33" customFormat="1" ht="32.25" customHeight="1" x14ac:dyDescent="0.2">
      <c r="A10" s="34">
        <v>2</v>
      </c>
      <c r="B10" s="28" t="s">
        <v>46</v>
      </c>
      <c r="C10" s="29" t="s">
        <v>47</v>
      </c>
      <c r="D10" s="28" t="s">
        <v>48</v>
      </c>
      <c r="E10" s="30">
        <v>0.59722222222222221</v>
      </c>
      <c r="F10" s="30">
        <v>0.72916666666666663</v>
      </c>
      <c r="G10" s="31">
        <v>46264</v>
      </c>
      <c r="H10" s="29" t="s">
        <v>49</v>
      </c>
      <c r="I10" s="29" t="s">
        <v>40</v>
      </c>
      <c r="J10" s="12" t="s">
        <v>11</v>
      </c>
      <c r="K10" s="12" t="s">
        <v>11</v>
      </c>
      <c r="L10" s="13">
        <v>18</v>
      </c>
      <c r="M10" s="13">
        <v>0</v>
      </c>
      <c r="N10" s="13">
        <v>0</v>
      </c>
      <c r="O10" s="13">
        <v>18</v>
      </c>
      <c r="P10" s="13">
        <v>0</v>
      </c>
      <c r="Q10" s="13">
        <v>0</v>
      </c>
      <c r="R10" s="13">
        <f t="shared" ref="R10:R18" si="1">O10-L10</f>
        <v>0</v>
      </c>
      <c r="S10" s="13">
        <f t="shared" si="0"/>
        <v>0</v>
      </c>
      <c r="T10" s="13">
        <f t="shared" si="0"/>
        <v>0</v>
      </c>
      <c r="U10" s="32" t="s">
        <v>41</v>
      </c>
    </row>
    <row r="11" spans="1:21" s="33" customFormat="1" ht="32.25" customHeight="1" x14ac:dyDescent="0.2">
      <c r="A11" s="26">
        <v>3</v>
      </c>
      <c r="B11" s="28" t="s">
        <v>46</v>
      </c>
      <c r="C11" s="29" t="s">
        <v>47</v>
      </c>
      <c r="D11" s="28" t="s">
        <v>50</v>
      </c>
      <c r="E11" s="30">
        <v>0.38194444444444442</v>
      </c>
      <c r="F11" s="30">
        <v>0.52083333333333337</v>
      </c>
      <c r="G11" s="31">
        <v>46264</v>
      </c>
      <c r="H11" s="29" t="s">
        <v>51</v>
      </c>
      <c r="I11" s="29" t="s">
        <v>40</v>
      </c>
      <c r="J11" s="12" t="s">
        <v>11</v>
      </c>
      <c r="K11" s="12" t="s">
        <v>11</v>
      </c>
      <c r="L11" s="13">
        <v>10</v>
      </c>
      <c r="M11" s="13">
        <v>1</v>
      </c>
      <c r="N11" s="13">
        <v>0</v>
      </c>
      <c r="O11" s="13">
        <v>10</v>
      </c>
      <c r="P11" s="13">
        <v>1</v>
      </c>
      <c r="Q11" s="13">
        <v>0</v>
      </c>
      <c r="R11" s="13">
        <f t="shared" si="1"/>
        <v>0</v>
      </c>
      <c r="S11" s="13">
        <f t="shared" si="0"/>
        <v>0</v>
      </c>
      <c r="T11" s="13">
        <f t="shared" si="0"/>
        <v>0</v>
      </c>
      <c r="U11" s="32" t="s">
        <v>41</v>
      </c>
    </row>
    <row r="12" spans="1:21" s="33" customFormat="1" ht="32.25" customHeight="1" x14ac:dyDescent="0.2">
      <c r="A12" s="34">
        <v>4</v>
      </c>
      <c r="B12" s="28" t="s">
        <v>46</v>
      </c>
      <c r="C12" s="29" t="s">
        <v>47</v>
      </c>
      <c r="D12" s="28" t="s">
        <v>50</v>
      </c>
      <c r="E12" s="30">
        <v>0.53472222222222221</v>
      </c>
      <c r="F12" s="30">
        <v>0.67361111111111116</v>
      </c>
      <c r="G12" s="31">
        <v>46264</v>
      </c>
      <c r="H12" s="29" t="s">
        <v>51</v>
      </c>
      <c r="I12" s="29" t="s">
        <v>40</v>
      </c>
      <c r="J12" s="12" t="s">
        <v>11</v>
      </c>
      <c r="K12" s="12" t="s">
        <v>11</v>
      </c>
      <c r="L12" s="13">
        <v>16</v>
      </c>
      <c r="M12" s="13">
        <v>0</v>
      </c>
      <c r="N12" s="13">
        <v>0</v>
      </c>
      <c r="O12" s="13">
        <v>16</v>
      </c>
      <c r="P12" s="13">
        <v>0</v>
      </c>
      <c r="Q12" s="13">
        <v>0</v>
      </c>
      <c r="R12" s="13">
        <f t="shared" si="1"/>
        <v>0</v>
      </c>
      <c r="S12" s="13">
        <f t="shared" si="0"/>
        <v>0</v>
      </c>
      <c r="T12" s="13">
        <f t="shared" si="0"/>
        <v>0</v>
      </c>
      <c r="U12" s="32" t="s">
        <v>41</v>
      </c>
    </row>
    <row r="13" spans="1:21" s="33" customFormat="1" ht="32.25" customHeight="1" x14ac:dyDescent="0.2">
      <c r="A13" s="26">
        <v>5</v>
      </c>
      <c r="B13" s="28" t="s">
        <v>46</v>
      </c>
      <c r="C13" s="29" t="s">
        <v>47</v>
      </c>
      <c r="D13" s="28" t="s">
        <v>52</v>
      </c>
      <c r="E13" s="30">
        <v>0.47222222222222227</v>
      </c>
      <c r="F13" s="30">
        <v>0.61111111111111105</v>
      </c>
      <c r="G13" s="31">
        <v>46264</v>
      </c>
      <c r="H13" s="29" t="s">
        <v>53</v>
      </c>
      <c r="I13" s="29" t="s">
        <v>40</v>
      </c>
      <c r="J13" s="12" t="s">
        <v>11</v>
      </c>
      <c r="K13" s="12" t="s">
        <v>11</v>
      </c>
      <c r="L13" s="13">
        <v>19</v>
      </c>
      <c r="M13" s="13">
        <v>0</v>
      </c>
      <c r="N13" s="13">
        <v>0</v>
      </c>
      <c r="O13" s="13">
        <v>19</v>
      </c>
      <c r="P13" s="13">
        <v>0</v>
      </c>
      <c r="Q13" s="13">
        <v>0</v>
      </c>
      <c r="R13" s="13">
        <f t="shared" si="1"/>
        <v>0</v>
      </c>
      <c r="S13" s="13">
        <f t="shared" si="0"/>
        <v>0</v>
      </c>
      <c r="T13" s="13">
        <f t="shared" si="0"/>
        <v>0</v>
      </c>
      <c r="U13" s="32" t="s">
        <v>41</v>
      </c>
    </row>
    <row r="14" spans="1:21" s="33" customFormat="1" ht="32.25" customHeight="1" x14ac:dyDescent="0.2">
      <c r="A14" s="34">
        <v>6</v>
      </c>
      <c r="B14" s="28" t="s">
        <v>46</v>
      </c>
      <c r="C14" s="29" t="s">
        <v>47</v>
      </c>
      <c r="D14" s="28" t="s">
        <v>52</v>
      </c>
      <c r="E14" s="30">
        <v>0.61111111111111105</v>
      </c>
      <c r="F14" s="30">
        <v>0.74305555555555547</v>
      </c>
      <c r="G14" s="31">
        <v>46264</v>
      </c>
      <c r="H14" s="29" t="s">
        <v>53</v>
      </c>
      <c r="I14" s="29" t="s">
        <v>40</v>
      </c>
      <c r="J14" s="12" t="s">
        <v>11</v>
      </c>
      <c r="K14" s="12" t="s">
        <v>11</v>
      </c>
      <c r="L14" s="13">
        <v>16</v>
      </c>
      <c r="M14" s="13">
        <v>4</v>
      </c>
      <c r="N14" s="13">
        <v>1</v>
      </c>
      <c r="O14" s="13">
        <v>16</v>
      </c>
      <c r="P14" s="13">
        <v>4</v>
      </c>
      <c r="Q14" s="13">
        <v>1</v>
      </c>
      <c r="R14" s="13">
        <f t="shared" si="1"/>
        <v>0</v>
      </c>
      <c r="S14" s="13">
        <f t="shared" si="0"/>
        <v>0</v>
      </c>
      <c r="T14" s="13">
        <f t="shared" si="0"/>
        <v>0</v>
      </c>
      <c r="U14" s="32" t="s">
        <v>41</v>
      </c>
    </row>
    <row r="15" spans="1:21" s="33" customFormat="1" ht="32.25" customHeight="1" x14ac:dyDescent="0.2">
      <c r="A15" s="26">
        <v>7</v>
      </c>
      <c r="B15" s="28" t="s">
        <v>46</v>
      </c>
      <c r="C15" s="29" t="s">
        <v>47</v>
      </c>
      <c r="D15" s="28" t="s">
        <v>54</v>
      </c>
      <c r="E15" s="30">
        <v>0.40277777777777773</v>
      </c>
      <c r="F15" s="30">
        <v>0.54166666666666663</v>
      </c>
      <c r="G15" s="31">
        <v>46264</v>
      </c>
      <c r="H15" s="29" t="s">
        <v>55</v>
      </c>
      <c r="I15" s="29" t="s">
        <v>40</v>
      </c>
      <c r="J15" s="12" t="s">
        <v>11</v>
      </c>
      <c r="K15" s="12" t="s">
        <v>11</v>
      </c>
      <c r="L15" s="13">
        <v>15</v>
      </c>
      <c r="M15" s="13">
        <v>0</v>
      </c>
      <c r="N15" s="13">
        <v>2</v>
      </c>
      <c r="O15" s="13">
        <v>15</v>
      </c>
      <c r="P15" s="13">
        <v>0</v>
      </c>
      <c r="Q15" s="13">
        <v>2</v>
      </c>
      <c r="R15" s="13">
        <f t="shared" si="1"/>
        <v>0</v>
      </c>
      <c r="S15" s="13">
        <f t="shared" si="0"/>
        <v>0</v>
      </c>
      <c r="T15" s="13">
        <f t="shared" si="0"/>
        <v>0</v>
      </c>
      <c r="U15" s="32" t="s">
        <v>41</v>
      </c>
    </row>
    <row r="16" spans="1:21" s="33" customFormat="1" ht="32.25" customHeight="1" x14ac:dyDescent="0.2">
      <c r="A16" s="34">
        <v>8</v>
      </c>
      <c r="B16" s="28" t="s">
        <v>46</v>
      </c>
      <c r="C16" s="29" t="s">
        <v>47</v>
      </c>
      <c r="D16" s="28" t="s">
        <v>54</v>
      </c>
      <c r="E16" s="30">
        <v>0.6875</v>
      </c>
      <c r="F16" s="30">
        <v>0.81944444444444453</v>
      </c>
      <c r="G16" s="31">
        <v>46264</v>
      </c>
      <c r="H16" s="29" t="s">
        <v>55</v>
      </c>
      <c r="I16" s="29" t="s">
        <v>40</v>
      </c>
      <c r="J16" s="12" t="s">
        <v>11</v>
      </c>
      <c r="K16" s="12" t="s">
        <v>11</v>
      </c>
      <c r="L16" s="13">
        <v>13</v>
      </c>
      <c r="M16" s="13">
        <v>0</v>
      </c>
      <c r="N16" s="13">
        <v>0</v>
      </c>
      <c r="O16" s="13">
        <v>13</v>
      </c>
      <c r="P16" s="13">
        <v>0</v>
      </c>
      <c r="Q16" s="13">
        <v>0</v>
      </c>
      <c r="R16" s="13">
        <f t="shared" si="1"/>
        <v>0</v>
      </c>
      <c r="S16" s="13">
        <f t="shared" si="0"/>
        <v>0</v>
      </c>
      <c r="T16" s="13">
        <f t="shared" si="0"/>
        <v>0</v>
      </c>
      <c r="U16" s="32" t="s">
        <v>41</v>
      </c>
    </row>
    <row r="17" spans="1:21" s="33" customFormat="1" ht="32.25" customHeight="1" x14ac:dyDescent="0.2">
      <c r="A17" s="26">
        <v>9</v>
      </c>
      <c r="B17" s="28" t="s">
        <v>46</v>
      </c>
      <c r="C17" s="29" t="s">
        <v>47</v>
      </c>
      <c r="D17" s="28" t="s">
        <v>56</v>
      </c>
      <c r="E17" s="30">
        <v>0.38194444444444442</v>
      </c>
      <c r="F17" s="30">
        <v>0.52083333333333337</v>
      </c>
      <c r="G17" s="31">
        <v>46264</v>
      </c>
      <c r="H17" s="29" t="s">
        <v>57</v>
      </c>
      <c r="I17" s="29" t="s">
        <v>40</v>
      </c>
      <c r="J17" s="12" t="s">
        <v>11</v>
      </c>
      <c r="K17" s="12" t="s">
        <v>11</v>
      </c>
      <c r="L17" s="13">
        <v>9</v>
      </c>
      <c r="M17" s="13">
        <v>0</v>
      </c>
      <c r="N17" s="13">
        <v>0</v>
      </c>
      <c r="O17" s="13">
        <v>9</v>
      </c>
      <c r="P17" s="13">
        <v>0</v>
      </c>
      <c r="Q17" s="13">
        <v>0</v>
      </c>
      <c r="R17" s="13">
        <f t="shared" si="1"/>
        <v>0</v>
      </c>
      <c r="S17" s="13">
        <f t="shared" si="0"/>
        <v>0</v>
      </c>
      <c r="T17" s="13">
        <f t="shared" si="0"/>
        <v>0</v>
      </c>
      <c r="U17" s="32" t="s">
        <v>41</v>
      </c>
    </row>
    <row r="18" spans="1:21" s="33" customFormat="1" ht="32.25" customHeight="1" x14ac:dyDescent="0.2">
      <c r="A18" s="34">
        <v>10</v>
      </c>
      <c r="B18" s="28" t="s">
        <v>46</v>
      </c>
      <c r="C18" s="29" t="s">
        <v>47</v>
      </c>
      <c r="D18" s="28" t="s">
        <v>56</v>
      </c>
      <c r="E18" s="30">
        <v>0.53472222222222221</v>
      </c>
      <c r="F18" s="30">
        <v>0.67361111111111116</v>
      </c>
      <c r="G18" s="31">
        <v>46264</v>
      </c>
      <c r="H18" s="29" t="s">
        <v>57</v>
      </c>
      <c r="I18" s="29" t="s">
        <v>40</v>
      </c>
      <c r="J18" s="12" t="s">
        <v>11</v>
      </c>
      <c r="K18" s="12" t="s">
        <v>11</v>
      </c>
      <c r="L18" s="13">
        <v>19</v>
      </c>
      <c r="M18" s="13">
        <v>3</v>
      </c>
      <c r="N18" s="13">
        <v>1</v>
      </c>
      <c r="O18" s="13">
        <v>19</v>
      </c>
      <c r="P18" s="13">
        <v>3</v>
      </c>
      <c r="Q18" s="13">
        <v>1</v>
      </c>
      <c r="R18" s="13">
        <f t="shared" si="1"/>
        <v>0</v>
      </c>
      <c r="S18" s="13">
        <f t="shared" si="0"/>
        <v>0</v>
      </c>
      <c r="T18" s="13">
        <f t="shared" si="0"/>
        <v>0</v>
      </c>
      <c r="U18" s="32" t="s">
        <v>41</v>
      </c>
    </row>
    <row r="19" spans="1:21" s="33" customFormat="1" ht="32.25" customHeight="1" x14ac:dyDescent="0.2">
      <c r="A19" s="26">
        <v>11</v>
      </c>
      <c r="B19" s="28" t="s">
        <v>58</v>
      </c>
      <c r="C19" s="29" t="s">
        <v>59</v>
      </c>
      <c r="D19" s="28" t="s">
        <v>60</v>
      </c>
      <c r="E19" s="30">
        <v>0.27777777777777779</v>
      </c>
      <c r="F19" s="30">
        <v>0.35416666666666669</v>
      </c>
      <c r="G19" s="31">
        <v>46265</v>
      </c>
      <c r="H19" s="29" t="s">
        <v>61</v>
      </c>
      <c r="I19" s="29" t="s">
        <v>40</v>
      </c>
      <c r="J19" s="12" t="s">
        <v>11</v>
      </c>
      <c r="K19" s="12" t="s">
        <v>11</v>
      </c>
      <c r="L19" s="13">
        <v>15</v>
      </c>
      <c r="M19" s="13">
        <v>1</v>
      </c>
      <c r="N19" s="13">
        <v>1</v>
      </c>
      <c r="O19" s="13">
        <v>15</v>
      </c>
      <c r="P19" s="13">
        <v>1</v>
      </c>
      <c r="Q19" s="13">
        <v>1</v>
      </c>
      <c r="R19" s="13">
        <f>O19-L19</f>
        <v>0</v>
      </c>
      <c r="S19" s="13">
        <f t="shared" si="0"/>
        <v>0</v>
      </c>
      <c r="T19" s="13">
        <f t="shared" si="0"/>
        <v>0</v>
      </c>
      <c r="U19" s="32" t="s">
        <v>41</v>
      </c>
    </row>
    <row r="20" spans="1:21" s="33" customFormat="1" ht="32.25" customHeight="1" x14ac:dyDescent="0.2">
      <c r="A20" s="34">
        <v>12</v>
      </c>
      <c r="B20" s="28" t="s">
        <v>58</v>
      </c>
      <c r="C20" s="29" t="s">
        <v>59</v>
      </c>
      <c r="D20" s="28" t="s">
        <v>60</v>
      </c>
      <c r="E20" s="30">
        <v>0.38194444444444442</v>
      </c>
      <c r="F20" s="30">
        <v>0.45833333333333331</v>
      </c>
      <c r="G20" s="31">
        <v>46265</v>
      </c>
      <c r="H20" s="29" t="s">
        <v>61</v>
      </c>
      <c r="I20" s="29" t="s">
        <v>40</v>
      </c>
      <c r="J20" s="12" t="s">
        <v>11</v>
      </c>
      <c r="K20" s="12" t="s">
        <v>11</v>
      </c>
      <c r="L20" s="13">
        <v>10</v>
      </c>
      <c r="M20" s="13">
        <v>2</v>
      </c>
      <c r="N20" s="13">
        <v>0</v>
      </c>
      <c r="O20" s="13">
        <v>10</v>
      </c>
      <c r="P20" s="13">
        <v>2</v>
      </c>
      <c r="Q20" s="13">
        <v>0</v>
      </c>
      <c r="R20" s="13">
        <f t="shared" ref="R20:T35" si="2">O20-L20</f>
        <v>0</v>
      </c>
      <c r="S20" s="13">
        <f t="shared" si="0"/>
        <v>0</v>
      </c>
      <c r="T20" s="13">
        <f t="shared" si="0"/>
        <v>0</v>
      </c>
      <c r="U20" s="32" t="s">
        <v>41</v>
      </c>
    </row>
    <row r="21" spans="1:21" s="33" customFormat="1" ht="32.25" customHeight="1" x14ac:dyDescent="0.2">
      <c r="A21" s="26">
        <v>13</v>
      </c>
      <c r="B21" s="28" t="s">
        <v>58</v>
      </c>
      <c r="C21" s="29" t="s">
        <v>59</v>
      </c>
      <c r="D21" s="28" t="s">
        <v>62</v>
      </c>
      <c r="E21" s="30">
        <v>0.3125</v>
      </c>
      <c r="F21" s="30">
        <v>0.3888888888888889</v>
      </c>
      <c r="G21" s="31">
        <v>46265</v>
      </c>
      <c r="H21" s="29" t="s">
        <v>63</v>
      </c>
      <c r="I21" s="29" t="s">
        <v>40</v>
      </c>
      <c r="J21" s="12" t="s">
        <v>11</v>
      </c>
      <c r="K21" s="12" t="s">
        <v>11</v>
      </c>
      <c r="L21" s="13">
        <v>17</v>
      </c>
      <c r="M21" s="13">
        <v>5</v>
      </c>
      <c r="N21" s="13">
        <v>1</v>
      </c>
      <c r="O21" s="13">
        <v>17</v>
      </c>
      <c r="P21" s="13">
        <v>5</v>
      </c>
      <c r="Q21" s="13">
        <v>1</v>
      </c>
      <c r="R21" s="13">
        <f t="shared" si="2"/>
        <v>0</v>
      </c>
      <c r="S21" s="13">
        <f t="shared" si="0"/>
        <v>0</v>
      </c>
      <c r="T21" s="13">
        <f t="shared" si="0"/>
        <v>0</v>
      </c>
      <c r="U21" s="32" t="s">
        <v>41</v>
      </c>
    </row>
    <row r="22" spans="1:21" s="33" customFormat="1" ht="32.25" customHeight="1" x14ac:dyDescent="0.2">
      <c r="A22" s="34">
        <v>14</v>
      </c>
      <c r="B22" s="28" t="s">
        <v>58</v>
      </c>
      <c r="C22" s="29" t="s">
        <v>59</v>
      </c>
      <c r="D22" s="28" t="s">
        <v>62</v>
      </c>
      <c r="E22" s="30">
        <v>0.41666666666666669</v>
      </c>
      <c r="F22" s="30">
        <v>0.49305555555555558</v>
      </c>
      <c r="G22" s="31">
        <v>46265</v>
      </c>
      <c r="H22" s="29" t="s">
        <v>63</v>
      </c>
      <c r="I22" s="29" t="s">
        <v>40</v>
      </c>
      <c r="J22" s="12" t="s">
        <v>11</v>
      </c>
      <c r="K22" s="12" t="s">
        <v>11</v>
      </c>
      <c r="L22" s="13">
        <v>10</v>
      </c>
      <c r="M22" s="13">
        <v>0</v>
      </c>
      <c r="N22" s="13">
        <v>1</v>
      </c>
      <c r="O22" s="13">
        <v>10</v>
      </c>
      <c r="P22" s="13">
        <v>0</v>
      </c>
      <c r="Q22" s="13">
        <v>1</v>
      </c>
      <c r="R22" s="13">
        <f t="shared" si="2"/>
        <v>0</v>
      </c>
      <c r="S22" s="13">
        <f t="shared" si="0"/>
        <v>0</v>
      </c>
      <c r="T22" s="13">
        <f t="shared" si="0"/>
        <v>0</v>
      </c>
      <c r="U22" s="32" t="s">
        <v>64</v>
      </c>
    </row>
    <row r="23" spans="1:21" s="33" customFormat="1" ht="32.25" customHeight="1" x14ac:dyDescent="0.2">
      <c r="A23" s="26">
        <v>15</v>
      </c>
      <c r="B23" s="28" t="s">
        <v>58</v>
      </c>
      <c r="C23" s="29" t="s">
        <v>59</v>
      </c>
      <c r="D23" s="28" t="s">
        <v>65</v>
      </c>
      <c r="E23" s="30">
        <v>0.4861111111111111</v>
      </c>
      <c r="F23" s="30">
        <v>0.5625</v>
      </c>
      <c r="G23" s="31">
        <v>46265</v>
      </c>
      <c r="H23" s="29" t="s">
        <v>66</v>
      </c>
      <c r="I23" s="29" t="s">
        <v>40</v>
      </c>
      <c r="J23" s="12" t="s">
        <v>11</v>
      </c>
      <c r="K23" s="12" t="s">
        <v>11</v>
      </c>
      <c r="L23" s="13">
        <v>17</v>
      </c>
      <c r="M23" s="13">
        <v>3</v>
      </c>
      <c r="N23" s="13">
        <v>1</v>
      </c>
      <c r="O23" s="13">
        <v>17</v>
      </c>
      <c r="P23" s="13">
        <v>3</v>
      </c>
      <c r="Q23" s="13">
        <v>1</v>
      </c>
      <c r="R23" s="13">
        <f t="shared" si="2"/>
        <v>0</v>
      </c>
      <c r="S23" s="13">
        <f t="shared" si="0"/>
        <v>0</v>
      </c>
      <c r="T23" s="13">
        <f t="shared" si="0"/>
        <v>0</v>
      </c>
      <c r="U23" s="32" t="s">
        <v>67</v>
      </c>
    </row>
    <row r="24" spans="1:21" s="33" customFormat="1" ht="32.25" customHeight="1" x14ac:dyDescent="0.2">
      <c r="A24" s="34">
        <v>16</v>
      </c>
      <c r="B24" s="28" t="s">
        <v>58</v>
      </c>
      <c r="C24" s="29" t="s">
        <v>59</v>
      </c>
      <c r="D24" s="28" t="s">
        <v>65</v>
      </c>
      <c r="E24" s="30">
        <v>0.59027777777777779</v>
      </c>
      <c r="F24" s="30">
        <v>0.66666666666666663</v>
      </c>
      <c r="G24" s="31">
        <v>46265</v>
      </c>
      <c r="H24" s="29" t="s">
        <v>66</v>
      </c>
      <c r="I24" s="29" t="s">
        <v>40</v>
      </c>
      <c r="J24" s="12" t="s">
        <v>11</v>
      </c>
      <c r="K24" s="12" t="s">
        <v>11</v>
      </c>
      <c r="L24" s="13">
        <v>14</v>
      </c>
      <c r="M24" s="13">
        <v>4</v>
      </c>
      <c r="N24" s="13">
        <v>0</v>
      </c>
      <c r="O24" s="13">
        <v>14</v>
      </c>
      <c r="P24" s="13">
        <v>4</v>
      </c>
      <c r="Q24" s="13">
        <v>0</v>
      </c>
      <c r="R24" s="13">
        <f t="shared" si="2"/>
        <v>0</v>
      </c>
      <c r="S24" s="13">
        <f t="shared" si="0"/>
        <v>0</v>
      </c>
      <c r="T24" s="13">
        <f t="shared" si="0"/>
        <v>0</v>
      </c>
      <c r="U24" s="32" t="s">
        <v>41</v>
      </c>
    </row>
    <row r="25" spans="1:21" s="33" customFormat="1" ht="32.25" customHeight="1" x14ac:dyDescent="0.2">
      <c r="A25" s="26">
        <v>17</v>
      </c>
      <c r="B25" s="28" t="s">
        <v>58</v>
      </c>
      <c r="C25" s="29" t="s">
        <v>59</v>
      </c>
      <c r="D25" s="28" t="s">
        <v>68</v>
      </c>
      <c r="E25" s="30">
        <v>0.34722222222222227</v>
      </c>
      <c r="F25" s="30">
        <v>0.4236111111111111</v>
      </c>
      <c r="G25" s="31">
        <v>46265</v>
      </c>
      <c r="H25" s="29" t="s">
        <v>69</v>
      </c>
      <c r="I25" s="29" t="s">
        <v>40</v>
      </c>
      <c r="J25" s="12" t="s">
        <v>11</v>
      </c>
      <c r="K25" s="12" t="s">
        <v>11</v>
      </c>
      <c r="L25" s="13">
        <v>14</v>
      </c>
      <c r="M25" s="13">
        <v>3</v>
      </c>
      <c r="N25" s="13">
        <v>1</v>
      </c>
      <c r="O25" s="13">
        <v>14</v>
      </c>
      <c r="P25" s="13">
        <v>3</v>
      </c>
      <c r="Q25" s="13">
        <v>1</v>
      </c>
      <c r="R25" s="13">
        <f t="shared" si="2"/>
        <v>0</v>
      </c>
      <c r="S25" s="13">
        <f t="shared" si="2"/>
        <v>0</v>
      </c>
      <c r="T25" s="13">
        <f t="shared" si="2"/>
        <v>0</v>
      </c>
      <c r="U25" s="32" t="s">
        <v>41</v>
      </c>
    </row>
    <row r="26" spans="1:21" s="33" customFormat="1" ht="32.25" customHeight="1" x14ac:dyDescent="0.2">
      <c r="A26" s="34">
        <v>18</v>
      </c>
      <c r="B26" s="28" t="s">
        <v>58</v>
      </c>
      <c r="C26" s="29" t="s">
        <v>59</v>
      </c>
      <c r="D26" s="28" t="s">
        <v>68</v>
      </c>
      <c r="E26" s="30">
        <v>0.55555555555555558</v>
      </c>
      <c r="F26" s="30">
        <v>0.63194444444444442</v>
      </c>
      <c r="G26" s="31">
        <v>46265</v>
      </c>
      <c r="H26" s="29" t="s">
        <v>69</v>
      </c>
      <c r="I26" s="29" t="s">
        <v>40</v>
      </c>
      <c r="J26" s="12" t="s">
        <v>11</v>
      </c>
      <c r="K26" s="12" t="s">
        <v>11</v>
      </c>
      <c r="L26" s="13">
        <v>19</v>
      </c>
      <c r="M26" s="13">
        <v>0</v>
      </c>
      <c r="N26" s="13">
        <v>2</v>
      </c>
      <c r="O26" s="13">
        <v>19</v>
      </c>
      <c r="P26" s="13">
        <v>0</v>
      </c>
      <c r="Q26" s="13">
        <v>2</v>
      </c>
      <c r="R26" s="13">
        <f t="shared" si="2"/>
        <v>0</v>
      </c>
      <c r="S26" s="13">
        <f t="shared" si="2"/>
        <v>0</v>
      </c>
      <c r="T26" s="13">
        <f t="shared" si="2"/>
        <v>0</v>
      </c>
      <c r="U26" s="32" t="s">
        <v>41</v>
      </c>
    </row>
    <row r="27" spans="1:21" s="33" customFormat="1" ht="32.25" customHeight="1" x14ac:dyDescent="0.2">
      <c r="A27" s="26">
        <v>19</v>
      </c>
      <c r="B27" s="28" t="s">
        <v>58</v>
      </c>
      <c r="C27" s="29" t="s">
        <v>59</v>
      </c>
      <c r="D27" s="28" t="s">
        <v>70</v>
      </c>
      <c r="E27" s="30" t="s">
        <v>71</v>
      </c>
      <c r="F27" s="30">
        <v>0.29166666666666669</v>
      </c>
      <c r="G27" s="31">
        <v>46265</v>
      </c>
      <c r="H27" s="29" t="s">
        <v>72</v>
      </c>
      <c r="I27" s="29" t="s">
        <v>40</v>
      </c>
      <c r="J27" s="12" t="s">
        <v>11</v>
      </c>
      <c r="K27" s="12" t="s">
        <v>11</v>
      </c>
      <c r="L27" s="13">
        <v>12</v>
      </c>
      <c r="M27" s="13">
        <v>0</v>
      </c>
      <c r="N27" s="13">
        <v>0</v>
      </c>
      <c r="O27" s="13">
        <v>12</v>
      </c>
      <c r="P27" s="13">
        <v>0</v>
      </c>
      <c r="Q27" s="13">
        <v>0</v>
      </c>
      <c r="R27" s="13">
        <f t="shared" si="2"/>
        <v>0</v>
      </c>
      <c r="S27" s="13">
        <f t="shared" si="2"/>
        <v>0</v>
      </c>
      <c r="T27" s="13">
        <f t="shared" si="2"/>
        <v>0</v>
      </c>
      <c r="U27" s="32" t="s">
        <v>73</v>
      </c>
    </row>
    <row r="28" spans="1:21" s="33" customFormat="1" ht="32.25" customHeight="1" x14ac:dyDescent="0.2">
      <c r="A28" s="34">
        <v>20</v>
      </c>
      <c r="B28" s="28" t="s">
        <v>58</v>
      </c>
      <c r="C28" s="29" t="s">
        <v>59</v>
      </c>
      <c r="D28" s="28" t="s">
        <v>70</v>
      </c>
      <c r="E28" s="30">
        <v>0.3125</v>
      </c>
      <c r="F28" s="30">
        <v>0.3888888888888889</v>
      </c>
      <c r="G28" s="31">
        <v>46265</v>
      </c>
      <c r="H28" s="29" t="s">
        <v>72</v>
      </c>
      <c r="I28" s="29" t="s">
        <v>40</v>
      </c>
      <c r="J28" s="12" t="s">
        <v>11</v>
      </c>
      <c r="K28" s="12" t="s">
        <v>11</v>
      </c>
      <c r="L28" s="13">
        <v>22</v>
      </c>
      <c r="M28" s="13">
        <v>0</v>
      </c>
      <c r="N28" s="13">
        <v>1</v>
      </c>
      <c r="O28" s="13">
        <v>22</v>
      </c>
      <c r="P28" s="13">
        <v>0</v>
      </c>
      <c r="Q28" s="13">
        <v>1</v>
      </c>
      <c r="R28" s="13">
        <f t="shared" si="2"/>
        <v>0</v>
      </c>
      <c r="S28" s="13">
        <f t="shared" si="2"/>
        <v>0</v>
      </c>
      <c r="T28" s="13">
        <f t="shared" si="2"/>
        <v>0</v>
      </c>
      <c r="U28" s="32" t="s">
        <v>41</v>
      </c>
    </row>
    <row r="29" spans="1:21" s="33" customFormat="1" ht="32.25" customHeight="1" x14ac:dyDescent="0.2">
      <c r="A29" s="26">
        <v>21</v>
      </c>
      <c r="B29" s="28" t="s">
        <v>58</v>
      </c>
      <c r="C29" s="29" t="s">
        <v>74</v>
      </c>
      <c r="D29" s="28" t="s">
        <v>75</v>
      </c>
      <c r="E29" s="30">
        <v>0.20833333333333334</v>
      </c>
      <c r="F29" s="30">
        <v>0.29166666666666669</v>
      </c>
      <c r="G29" s="31">
        <v>46266</v>
      </c>
      <c r="H29" s="29" t="s">
        <v>76</v>
      </c>
      <c r="I29" s="29" t="s">
        <v>40</v>
      </c>
      <c r="J29" s="12" t="s">
        <v>11</v>
      </c>
      <c r="K29" s="12" t="s">
        <v>11</v>
      </c>
      <c r="L29" s="13">
        <v>12</v>
      </c>
      <c r="M29" s="13">
        <v>0</v>
      </c>
      <c r="N29" s="13">
        <v>0</v>
      </c>
      <c r="O29" s="13">
        <v>12</v>
      </c>
      <c r="P29" s="13">
        <v>0</v>
      </c>
      <c r="Q29" s="13">
        <v>0</v>
      </c>
      <c r="R29" s="13">
        <f>O29-L29</f>
        <v>0</v>
      </c>
      <c r="S29" s="13">
        <f t="shared" si="2"/>
        <v>0</v>
      </c>
      <c r="T29" s="13">
        <f t="shared" si="2"/>
        <v>0</v>
      </c>
      <c r="U29" s="32" t="s">
        <v>77</v>
      </c>
    </row>
    <row r="30" spans="1:21" s="33" customFormat="1" ht="32.25" customHeight="1" x14ac:dyDescent="0.2">
      <c r="A30" s="34">
        <v>22</v>
      </c>
      <c r="B30" s="28" t="s">
        <v>58</v>
      </c>
      <c r="C30" s="29" t="s">
        <v>74</v>
      </c>
      <c r="D30" s="28" t="s">
        <v>75</v>
      </c>
      <c r="E30" s="30">
        <v>0.30555555555555552</v>
      </c>
      <c r="F30" s="30">
        <v>0.3888888888888889</v>
      </c>
      <c r="G30" s="31">
        <v>46266</v>
      </c>
      <c r="H30" s="29" t="s">
        <v>76</v>
      </c>
      <c r="I30" s="29" t="s">
        <v>40</v>
      </c>
      <c r="J30" s="12" t="s">
        <v>11</v>
      </c>
      <c r="K30" s="12" t="s">
        <v>11</v>
      </c>
      <c r="L30" s="13">
        <v>13</v>
      </c>
      <c r="M30" s="13">
        <v>2</v>
      </c>
      <c r="N30" s="13">
        <v>1</v>
      </c>
      <c r="O30" s="13">
        <v>13</v>
      </c>
      <c r="P30" s="13">
        <v>2</v>
      </c>
      <c r="Q30" s="13">
        <v>1</v>
      </c>
      <c r="R30" s="13">
        <f t="shared" ref="R30:T45" si="3">O30-L30</f>
        <v>0</v>
      </c>
      <c r="S30" s="13">
        <f t="shared" si="2"/>
        <v>0</v>
      </c>
      <c r="T30" s="13">
        <f t="shared" si="2"/>
        <v>0</v>
      </c>
      <c r="U30" s="32" t="s">
        <v>41</v>
      </c>
    </row>
    <row r="31" spans="1:21" s="33" customFormat="1" ht="32.25" customHeight="1" x14ac:dyDescent="0.2">
      <c r="A31" s="26">
        <v>23</v>
      </c>
      <c r="B31" s="28" t="s">
        <v>58</v>
      </c>
      <c r="C31" s="29" t="s">
        <v>74</v>
      </c>
      <c r="D31" s="28" t="s">
        <v>78</v>
      </c>
      <c r="E31" s="30">
        <v>0.27777777777777779</v>
      </c>
      <c r="F31" s="30">
        <v>0.3611111111111111</v>
      </c>
      <c r="G31" s="31">
        <v>46266</v>
      </c>
      <c r="H31" s="29" t="s">
        <v>79</v>
      </c>
      <c r="I31" s="29" t="s">
        <v>40</v>
      </c>
      <c r="J31" s="12" t="s">
        <v>11</v>
      </c>
      <c r="K31" s="12" t="s">
        <v>11</v>
      </c>
      <c r="L31" s="13">
        <v>12</v>
      </c>
      <c r="M31" s="13">
        <v>1</v>
      </c>
      <c r="N31" s="13">
        <v>0</v>
      </c>
      <c r="O31" s="13">
        <v>12</v>
      </c>
      <c r="P31" s="13">
        <v>1</v>
      </c>
      <c r="Q31" s="13">
        <v>0</v>
      </c>
      <c r="R31" s="13">
        <f t="shared" si="3"/>
        <v>0</v>
      </c>
      <c r="S31" s="13">
        <f t="shared" si="2"/>
        <v>0</v>
      </c>
      <c r="T31" s="13">
        <f t="shared" si="2"/>
        <v>0</v>
      </c>
      <c r="U31" s="32" t="s">
        <v>41</v>
      </c>
    </row>
    <row r="32" spans="1:21" s="33" customFormat="1" ht="32.25" customHeight="1" x14ac:dyDescent="0.2">
      <c r="A32" s="34">
        <v>24</v>
      </c>
      <c r="B32" s="28" t="s">
        <v>58</v>
      </c>
      <c r="C32" s="29" t="s">
        <v>74</v>
      </c>
      <c r="D32" s="28" t="s">
        <v>78</v>
      </c>
      <c r="E32" s="30">
        <v>0.72916666666666663</v>
      </c>
      <c r="F32" s="30">
        <v>0.8125</v>
      </c>
      <c r="G32" s="31">
        <v>46266</v>
      </c>
      <c r="H32" s="29" t="s">
        <v>79</v>
      </c>
      <c r="I32" s="29" t="s">
        <v>40</v>
      </c>
      <c r="J32" s="12" t="s">
        <v>11</v>
      </c>
      <c r="K32" s="12" t="s">
        <v>11</v>
      </c>
      <c r="L32" s="13">
        <v>9</v>
      </c>
      <c r="M32" s="13">
        <v>3</v>
      </c>
      <c r="N32" s="13">
        <v>0</v>
      </c>
      <c r="O32" s="13">
        <v>9</v>
      </c>
      <c r="P32" s="13">
        <v>3</v>
      </c>
      <c r="Q32" s="13">
        <v>0</v>
      </c>
      <c r="R32" s="13">
        <f t="shared" si="3"/>
        <v>0</v>
      </c>
      <c r="S32" s="13">
        <f t="shared" si="2"/>
        <v>0</v>
      </c>
      <c r="T32" s="13">
        <f t="shared" si="2"/>
        <v>0</v>
      </c>
      <c r="U32" s="32" t="s">
        <v>41</v>
      </c>
    </row>
    <row r="33" spans="1:21" s="33" customFormat="1" ht="32.25" customHeight="1" x14ac:dyDescent="0.2">
      <c r="A33" s="26">
        <v>25</v>
      </c>
      <c r="B33" s="28" t="s">
        <v>58</v>
      </c>
      <c r="C33" s="29" t="s">
        <v>74</v>
      </c>
      <c r="D33" s="28" t="s">
        <v>80</v>
      </c>
      <c r="E33" s="30">
        <v>0.33333333333333331</v>
      </c>
      <c r="F33" s="30">
        <v>0.41666666666666669</v>
      </c>
      <c r="G33" s="31">
        <v>46266</v>
      </c>
      <c r="H33" s="29" t="s">
        <v>81</v>
      </c>
      <c r="I33" s="29" t="s">
        <v>40</v>
      </c>
      <c r="J33" s="12" t="s">
        <v>11</v>
      </c>
      <c r="K33" s="12" t="s">
        <v>11</v>
      </c>
      <c r="L33" s="13">
        <v>24</v>
      </c>
      <c r="M33" s="13">
        <v>1</v>
      </c>
      <c r="N33" s="13">
        <v>0</v>
      </c>
      <c r="O33" s="13">
        <v>24</v>
      </c>
      <c r="P33" s="13">
        <v>1</v>
      </c>
      <c r="Q33" s="13">
        <v>0</v>
      </c>
      <c r="R33" s="13">
        <f t="shared" si="3"/>
        <v>0</v>
      </c>
      <c r="S33" s="13">
        <f t="shared" si="2"/>
        <v>0</v>
      </c>
      <c r="T33" s="13">
        <f t="shared" si="2"/>
        <v>0</v>
      </c>
      <c r="U33" s="32" t="s">
        <v>41</v>
      </c>
    </row>
    <row r="34" spans="1:21" s="33" customFormat="1" ht="32.25" customHeight="1" x14ac:dyDescent="0.2">
      <c r="A34" s="34">
        <v>26</v>
      </c>
      <c r="B34" s="28" t="s">
        <v>58</v>
      </c>
      <c r="C34" s="29" t="s">
        <v>74</v>
      </c>
      <c r="D34" s="28" t="s">
        <v>80</v>
      </c>
      <c r="E34" s="30">
        <v>0.4861111111111111</v>
      </c>
      <c r="F34" s="30">
        <v>0.56944444444444442</v>
      </c>
      <c r="G34" s="31">
        <v>46266</v>
      </c>
      <c r="H34" s="29" t="s">
        <v>81</v>
      </c>
      <c r="I34" s="29" t="s">
        <v>40</v>
      </c>
      <c r="J34" s="12" t="s">
        <v>11</v>
      </c>
      <c r="K34" s="12" t="s">
        <v>11</v>
      </c>
      <c r="L34" s="13">
        <v>12</v>
      </c>
      <c r="M34" s="13">
        <v>3</v>
      </c>
      <c r="N34" s="13">
        <v>0</v>
      </c>
      <c r="O34" s="13">
        <v>12</v>
      </c>
      <c r="P34" s="13">
        <v>3</v>
      </c>
      <c r="Q34" s="13">
        <v>0</v>
      </c>
      <c r="R34" s="13">
        <f t="shared" si="3"/>
        <v>0</v>
      </c>
      <c r="S34" s="13">
        <f t="shared" si="2"/>
        <v>0</v>
      </c>
      <c r="T34" s="13">
        <f t="shared" si="2"/>
        <v>0</v>
      </c>
      <c r="U34" s="32" t="s">
        <v>41</v>
      </c>
    </row>
    <row r="35" spans="1:21" s="33" customFormat="1" ht="32.25" customHeight="1" x14ac:dyDescent="0.2">
      <c r="A35" s="26">
        <v>27</v>
      </c>
      <c r="B35" s="28" t="s">
        <v>58</v>
      </c>
      <c r="C35" s="29" t="s">
        <v>74</v>
      </c>
      <c r="D35" s="28" t="s">
        <v>82</v>
      </c>
      <c r="E35" s="30">
        <v>0.21875</v>
      </c>
      <c r="F35" s="30">
        <v>0.30208333333333331</v>
      </c>
      <c r="G35" s="31">
        <v>46266</v>
      </c>
      <c r="H35" s="29" t="s">
        <v>83</v>
      </c>
      <c r="I35" s="29" t="s">
        <v>40</v>
      </c>
      <c r="J35" s="12" t="s">
        <v>11</v>
      </c>
      <c r="K35" s="12" t="s">
        <v>11</v>
      </c>
      <c r="L35" s="13">
        <v>16</v>
      </c>
      <c r="M35" s="13">
        <v>0</v>
      </c>
      <c r="N35" s="13">
        <v>3</v>
      </c>
      <c r="O35" s="13">
        <v>16</v>
      </c>
      <c r="P35" s="13">
        <v>0</v>
      </c>
      <c r="Q35" s="13">
        <v>3</v>
      </c>
      <c r="R35" s="13">
        <f t="shared" si="3"/>
        <v>0</v>
      </c>
      <c r="S35" s="13">
        <f t="shared" si="2"/>
        <v>0</v>
      </c>
      <c r="T35" s="13">
        <f t="shared" si="2"/>
        <v>0</v>
      </c>
      <c r="U35" s="32" t="s">
        <v>41</v>
      </c>
    </row>
    <row r="36" spans="1:21" s="33" customFormat="1" ht="32.25" customHeight="1" x14ac:dyDescent="0.2">
      <c r="A36" s="34">
        <v>28</v>
      </c>
      <c r="B36" s="28" t="s">
        <v>58</v>
      </c>
      <c r="C36" s="29" t="s">
        <v>74</v>
      </c>
      <c r="D36" s="28" t="s">
        <v>82</v>
      </c>
      <c r="E36" s="30">
        <v>0.63541666666666663</v>
      </c>
      <c r="F36" s="30">
        <v>0.71875</v>
      </c>
      <c r="G36" s="31">
        <v>46266</v>
      </c>
      <c r="H36" s="29" t="s">
        <v>83</v>
      </c>
      <c r="I36" s="29" t="s">
        <v>40</v>
      </c>
      <c r="J36" s="12" t="s">
        <v>11</v>
      </c>
      <c r="K36" s="12" t="s">
        <v>11</v>
      </c>
      <c r="L36" s="13">
        <v>13</v>
      </c>
      <c r="M36" s="13">
        <v>0</v>
      </c>
      <c r="N36" s="13">
        <v>1</v>
      </c>
      <c r="O36" s="13">
        <v>13</v>
      </c>
      <c r="P36" s="13">
        <v>0</v>
      </c>
      <c r="Q36" s="13">
        <v>1</v>
      </c>
      <c r="R36" s="13">
        <f t="shared" si="3"/>
        <v>0</v>
      </c>
      <c r="S36" s="13">
        <f t="shared" si="3"/>
        <v>0</v>
      </c>
      <c r="T36" s="13">
        <f t="shared" si="3"/>
        <v>0</v>
      </c>
      <c r="U36" s="32" t="s">
        <v>41</v>
      </c>
    </row>
    <row r="37" spans="1:21" s="33" customFormat="1" ht="32.25" customHeight="1" x14ac:dyDescent="0.2">
      <c r="A37" s="26">
        <v>29</v>
      </c>
      <c r="B37" s="28" t="s">
        <v>58</v>
      </c>
      <c r="C37" s="29" t="s">
        <v>74</v>
      </c>
      <c r="D37" s="28" t="s">
        <v>84</v>
      </c>
      <c r="E37" s="30">
        <v>0.31944444444444448</v>
      </c>
      <c r="F37" s="30">
        <v>0.40277777777777773</v>
      </c>
      <c r="G37" s="31">
        <v>46266</v>
      </c>
      <c r="H37" s="29" t="s">
        <v>85</v>
      </c>
      <c r="I37" s="29" t="s">
        <v>40</v>
      </c>
      <c r="J37" s="12" t="s">
        <v>11</v>
      </c>
      <c r="K37" s="12" t="s">
        <v>11</v>
      </c>
      <c r="L37" s="13">
        <v>13</v>
      </c>
      <c r="M37" s="13">
        <v>4</v>
      </c>
      <c r="N37" s="13">
        <v>0</v>
      </c>
      <c r="O37" s="13">
        <v>13</v>
      </c>
      <c r="P37" s="13">
        <v>4</v>
      </c>
      <c r="Q37" s="13">
        <v>0</v>
      </c>
      <c r="R37" s="13">
        <f t="shared" si="3"/>
        <v>0</v>
      </c>
      <c r="S37" s="13">
        <f t="shared" si="3"/>
        <v>0</v>
      </c>
      <c r="T37" s="13">
        <f t="shared" si="3"/>
        <v>0</v>
      </c>
      <c r="U37" s="32" t="s">
        <v>41</v>
      </c>
    </row>
    <row r="38" spans="1:21" s="33" customFormat="1" ht="32.25" customHeight="1" x14ac:dyDescent="0.2">
      <c r="A38" s="34">
        <v>30</v>
      </c>
      <c r="B38" s="28" t="s">
        <v>58</v>
      </c>
      <c r="C38" s="29" t="s">
        <v>74</v>
      </c>
      <c r="D38" s="28" t="s">
        <v>84</v>
      </c>
      <c r="E38" s="30">
        <v>0.60416666666666663</v>
      </c>
      <c r="F38" s="30">
        <v>0.6875</v>
      </c>
      <c r="G38" s="31">
        <v>46266</v>
      </c>
      <c r="H38" s="29" t="s">
        <v>85</v>
      </c>
      <c r="I38" s="29" t="s">
        <v>40</v>
      </c>
      <c r="J38" s="12" t="s">
        <v>11</v>
      </c>
      <c r="K38" s="12" t="s">
        <v>11</v>
      </c>
      <c r="L38" s="13">
        <v>15</v>
      </c>
      <c r="M38" s="13">
        <v>3</v>
      </c>
      <c r="N38" s="13">
        <v>0</v>
      </c>
      <c r="O38" s="13">
        <v>15</v>
      </c>
      <c r="P38" s="13">
        <v>3</v>
      </c>
      <c r="Q38" s="13">
        <v>0</v>
      </c>
      <c r="R38" s="13">
        <f t="shared" si="3"/>
        <v>0</v>
      </c>
      <c r="S38" s="13">
        <f t="shared" si="3"/>
        <v>0</v>
      </c>
      <c r="T38" s="13">
        <f t="shared" si="3"/>
        <v>0</v>
      </c>
      <c r="U38" s="32" t="s">
        <v>41</v>
      </c>
    </row>
    <row r="39" spans="1:21" s="33" customFormat="1" ht="32.25" customHeight="1" x14ac:dyDescent="0.2">
      <c r="A39" s="26">
        <v>31</v>
      </c>
      <c r="B39" s="28" t="s">
        <v>58</v>
      </c>
      <c r="C39" s="29" t="s">
        <v>74</v>
      </c>
      <c r="D39" s="28" t="s">
        <v>86</v>
      </c>
      <c r="E39" s="30">
        <v>0.29166666666666669</v>
      </c>
      <c r="F39" s="30">
        <v>0.375</v>
      </c>
      <c r="G39" s="31">
        <v>46266</v>
      </c>
      <c r="H39" s="29" t="s">
        <v>87</v>
      </c>
      <c r="I39" s="29" t="s">
        <v>40</v>
      </c>
      <c r="J39" s="12" t="s">
        <v>11</v>
      </c>
      <c r="K39" s="12" t="s">
        <v>11</v>
      </c>
      <c r="L39" s="13">
        <v>24</v>
      </c>
      <c r="M39" s="13">
        <v>2</v>
      </c>
      <c r="N39" s="13">
        <v>0</v>
      </c>
      <c r="O39" s="13">
        <v>24</v>
      </c>
      <c r="P39" s="13">
        <v>2</v>
      </c>
      <c r="Q39" s="13">
        <v>0</v>
      </c>
      <c r="R39" s="13">
        <f t="shared" si="3"/>
        <v>0</v>
      </c>
      <c r="S39" s="13">
        <f t="shared" si="3"/>
        <v>0</v>
      </c>
      <c r="T39" s="13">
        <f t="shared" si="3"/>
        <v>0</v>
      </c>
      <c r="U39" s="32" t="s">
        <v>41</v>
      </c>
    </row>
    <row r="40" spans="1:21" s="33" customFormat="1" ht="32.25" customHeight="1" x14ac:dyDescent="0.2">
      <c r="A40" s="34">
        <v>32</v>
      </c>
      <c r="B40" s="28" t="s">
        <v>58</v>
      </c>
      <c r="C40" s="29" t="s">
        <v>74</v>
      </c>
      <c r="D40" s="28" t="s">
        <v>86</v>
      </c>
      <c r="E40" s="30">
        <v>0.4201388888888889</v>
      </c>
      <c r="F40" s="30">
        <v>0.50347222222222221</v>
      </c>
      <c r="G40" s="31">
        <v>46266</v>
      </c>
      <c r="H40" s="29" t="s">
        <v>87</v>
      </c>
      <c r="I40" s="29" t="s">
        <v>40</v>
      </c>
      <c r="J40" s="12" t="s">
        <v>11</v>
      </c>
      <c r="K40" s="12" t="s">
        <v>11</v>
      </c>
      <c r="L40" s="13">
        <v>14</v>
      </c>
      <c r="M40" s="13">
        <v>3</v>
      </c>
      <c r="N40" s="13">
        <v>1</v>
      </c>
      <c r="O40" s="13">
        <v>14</v>
      </c>
      <c r="P40" s="13">
        <v>3</v>
      </c>
      <c r="Q40" s="13">
        <v>1</v>
      </c>
      <c r="R40" s="13">
        <f t="shared" si="3"/>
        <v>0</v>
      </c>
      <c r="S40" s="13">
        <f t="shared" si="3"/>
        <v>0</v>
      </c>
      <c r="T40" s="13">
        <f t="shared" si="3"/>
        <v>0</v>
      </c>
      <c r="U40" s="32" t="s">
        <v>41</v>
      </c>
    </row>
    <row r="41" spans="1:21" s="33" customFormat="1" ht="32.25" customHeight="1" x14ac:dyDescent="0.2">
      <c r="A41" s="26">
        <v>33</v>
      </c>
      <c r="B41" s="28" t="s">
        <v>46</v>
      </c>
      <c r="C41" s="29" t="s">
        <v>88</v>
      </c>
      <c r="D41" s="28" t="s">
        <v>89</v>
      </c>
      <c r="E41" s="30">
        <v>0.24305555555555555</v>
      </c>
      <c r="F41" s="30">
        <v>0.33333333333333331</v>
      </c>
      <c r="G41" s="31">
        <v>46115</v>
      </c>
      <c r="H41" s="29" t="s">
        <v>90</v>
      </c>
      <c r="I41" s="29" t="s">
        <v>40</v>
      </c>
      <c r="J41" s="12" t="s">
        <v>11</v>
      </c>
      <c r="K41" s="12" t="s">
        <v>11</v>
      </c>
      <c r="L41" s="13">
        <v>9</v>
      </c>
      <c r="M41" s="13">
        <v>0</v>
      </c>
      <c r="N41" s="13">
        <v>0</v>
      </c>
      <c r="O41" s="13">
        <v>9</v>
      </c>
      <c r="P41" s="13">
        <v>0</v>
      </c>
      <c r="Q41" s="13">
        <v>0</v>
      </c>
      <c r="R41" s="13">
        <f>O41-L41</f>
        <v>0</v>
      </c>
      <c r="S41" s="13">
        <f t="shared" si="3"/>
        <v>0</v>
      </c>
      <c r="T41" s="13">
        <f t="shared" si="3"/>
        <v>0</v>
      </c>
      <c r="U41" s="32" t="s">
        <v>41</v>
      </c>
    </row>
    <row r="42" spans="1:21" s="33" customFormat="1" ht="32.25" customHeight="1" x14ac:dyDescent="0.2">
      <c r="A42" s="34">
        <v>34</v>
      </c>
      <c r="B42" s="28" t="s">
        <v>46</v>
      </c>
      <c r="C42" s="29" t="s">
        <v>88</v>
      </c>
      <c r="D42" s="28" t="s">
        <v>89</v>
      </c>
      <c r="E42" s="30">
        <v>0.37847222222222227</v>
      </c>
      <c r="F42" s="30">
        <v>0.46875</v>
      </c>
      <c r="G42" s="31">
        <v>46115</v>
      </c>
      <c r="H42" s="29" t="s">
        <v>90</v>
      </c>
      <c r="I42" s="29" t="s">
        <v>40</v>
      </c>
      <c r="J42" s="12" t="s">
        <v>11</v>
      </c>
      <c r="K42" s="12" t="s">
        <v>11</v>
      </c>
      <c r="L42" s="13">
        <v>14</v>
      </c>
      <c r="M42" s="13">
        <v>1</v>
      </c>
      <c r="N42" s="13">
        <v>1</v>
      </c>
      <c r="O42" s="13">
        <v>14</v>
      </c>
      <c r="P42" s="13">
        <v>1</v>
      </c>
      <c r="Q42" s="13">
        <v>1</v>
      </c>
      <c r="R42" s="13">
        <f>O42-L42</f>
        <v>0</v>
      </c>
      <c r="S42" s="13">
        <f t="shared" si="3"/>
        <v>0</v>
      </c>
      <c r="T42" s="13">
        <f t="shared" si="3"/>
        <v>0</v>
      </c>
      <c r="U42" s="32" t="s">
        <v>41</v>
      </c>
    </row>
    <row r="43" spans="1:21" s="33" customFormat="1" ht="32.25" customHeight="1" x14ac:dyDescent="0.2">
      <c r="A43" s="26">
        <v>35</v>
      </c>
      <c r="B43" s="28" t="s">
        <v>46</v>
      </c>
      <c r="C43" s="29" t="s">
        <v>88</v>
      </c>
      <c r="D43" s="28" t="s">
        <v>89</v>
      </c>
      <c r="E43" s="30">
        <v>0.64236111111111105</v>
      </c>
      <c r="F43" s="30">
        <v>0.73263888888888884</v>
      </c>
      <c r="G43" s="31">
        <v>46115</v>
      </c>
      <c r="H43" s="29" t="s">
        <v>90</v>
      </c>
      <c r="I43" s="29" t="s">
        <v>40</v>
      </c>
      <c r="J43" s="12" t="s">
        <v>11</v>
      </c>
      <c r="K43" s="12" t="s">
        <v>11</v>
      </c>
      <c r="L43" s="13">
        <v>8</v>
      </c>
      <c r="M43" s="13">
        <v>2</v>
      </c>
      <c r="N43" s="13">
        <v>0</v>
      </c>
      <c r="O43" s="13">
        <v>8</v>
      </c>
      <c r="P43" s="13">
        <v>2</v>
      </c>
      <c r="Q43" s="13">
        <v>0</v>
      </c>
      <c r="R43" s="13">
        <f t="shared" ref="R43:T58" si="4">O43-L43</f>
        <v>0</v>
      </c>
      <c r="S43" s="13">
        <f t="shared" si="3"/>
        <v>0</v>
      </c>
      <c r="T43" s="13">
        <f t="shared" si="3"/>
        <v>0</v>
      </c>
      <c r="U43" s="32" t="s">
        <v>41</v>
      </c>
    </row>
    <row r="44" spans="1:21" s="33" customFormat="1" ht="32.25" customHeight="1" x14ac:dyDescent="0.2">
      <c r="A44" s="34">
        <v>36</v>
      </c>
      <c r="B44" s="28" t="s">
        <v>46</v>
      </c>
      <c r="C44" s="29" t="s">
        <v>91</v>
      </c>
      <c r="D44" s="28" t="s">
        <v>92</v>
      </c>
      <c r="E44" s="30">
        <v>0.20833333333333334</v>
      </c>
      <c r="F44" s="30">
        <v>0.28125</v>
      </c>
      <c r="G44" s="31">
        <v>46115</v>
      </c>
      <c r="H44" s="29" t="s">
        <v>93</v>
      </c>
      <c r="I44" s="29" t="s">
        <v>40</v>
      </c>
      <c r="J44" s="12" t="s">
        <v>11</v>
      </c>
      <c r="K44" s="12" t="s">
        <v>11</v>
      </c>
      <c r="L44" s="13">
        <v>7</v>
      </c>
      <c r="M44" s="13">
        <v>1</v>
      </c>
      <c r="N44" s="13">
        <v>0</v>
      </c>
      <c r="O44" s="13">
        <v>7</v>
      </c>
      <c r="P44" s="13">
        <v>1</v>
      </c>
      <c r="Q44" s="13">
        <v>0</v>
      </c>
      <c r="R44" s="13">
        <f t="shared" si="4"/>
        <v>0</v>
      </c>
      <c r="S44" s="13">
        <f t="shared" si="3"/>
        <v>0</v>
      </c>
      <c r="T44" s="13">
        <f t="shared" si="3"/>
        <v>0</v>
      </c>
      <c r="U44" s="32" t="s">
        <v>41</v>
      </c>
    </row>
    <row r="45" spans="1:21" s="33" customFormat="1" ht="32.25" customHeight="1" x14ac:dyDescent="0.2">
      <c r="A45" s="26">
        <v>37</v>
      </c>
      <c r="B45" s="28" t="s">
        <v>46</v>
      </c>
      <c r="C45" s="29" t="s">
        <v>91</v>
      </c>
      <c r="D45" s="28" t="s">
        <v>92</v>
      </c>
      <c r="E45" s="30">
        <v>0.37847222222222227</v>
      </c>
      <c r="F45" s="30">
        <v>0.4513888888888889</v>
      </c>
      <c r="G45" s="31">
        <v>46115</v>
      </c>
      <c r="H45" s="29" t="s">
        <v>93</v>
      </c>
      <c r="I45" s="29" t="s">
        <v>40</v>
      </c>
      <c r="J45" s="66" t="s">
        <v>14</v>
      </c>
      <c r="K45" s="12" t="s">
        <v>11</v>
      </c>
      <c r="L45" s="13">
        <v>13</v>
      </c>
      <c r="M45" s="13">
        <v>0</v>
      </c>
      <c r="N45" s="13">
        <v>0</v>
      </c>
      <c r="O45" s="13">
        <v>13</v>
      </c>
      <c r="P45" s="13">
        <v>0</v>
      </c>
      <c r="Q45" s="13">
        <v>0</v>
      </c>
      <c r="R45" s="13">
        <f t="shared" si="4"/>
        <v>0</v>
      </c>
      <c r="S45" s="13">
        <f t="shared" si="3"/>
        <v>0</v>
      </c>
      <c r="T45" s="13">
        <f t="shared" si="3"/>
        <v>0</v>
      </c>
      <c r="U45" s="67" t="s">
        <v>94</v>
      </c>
    </row>
    <row r="46" spans="1:21" s="33" customFormat="1" ht="32.25" customHeight="1" x14ac:dyDescent="0.2">
      <c r="A46" s="34">
        <v>38</v>
      </c>
      <c r="B46" s="28" t="s">
        <v>46</v>
      </c>
      <c r="C46" s="29" t="s">
        <v>91</v>
      </c>
      <c r="D46" s="28" t="s">
        <v>92</v>
      </c>
      <c r="E46" s="30">
        <v>0.64236111111111105</v>
      </c>
      <c r="F46" s="30">
        <v>0.71527777777777779</v>
      </c>
      <c r="G46" s="31">
        <v>46115</v>
      </c>
      <c r="H46" s="29" t="s">
        <v>93</v>
      </c>
      <c r="I46" s="29" t="s">
        <v>40</v>
      </c>
      <c r="J46" s="12" t="s">
        <v>11</v>
      </c>
      <c r="K46" s="12" t="s">
        <v>11</v>
      </c>
      <c r="L46" s="13">
        <v>7</v>
      </c>
      <c r="M46" s="13">
        <v>4</v>
      </c>
      <c r="N46" s="13">
        <v>0</v>
      </c>
      <c r="O46" s="13">
        <v>7</v>
      </c>
      <c r="P46" s="13">
        <v>4</v>
      </c>
      <c r="Q46" s="13">
        <v>0</v>
      </c>
      <c r="R46" s="13">
        <f t="shared" si="4"/>
        <v>0</v>
      </c>
      <c r="S46" s="13">
        <f t="shared" si="4"/>
        <v>0</v>
      </c>
      <c r="T46" s="13">
        <f t="shared" si="4"/>
        <v>0</v>
      </c>
      <c r="U46" s="32" t="s">
        <v>41</v>
      </c>
    </row>
    <row r="47" spans="1:21" s="33" customFormat="1" ht="32.25" customHeight="1" x14ac:dyDescent="0.2">
      <c r="A47" s="26">
        <v>39</v>
      </c>
      <c r="B47" s="28" t="s">
        <v>46</v>
      </c>
      <c r="C47" s="29" t="s">
        <v>91</v>
      </c>
      <c r="D47" s="28" t="s">
        <v>95</v>
      </c>
      <c r="E47" s="30">
        <v>0.1875</v>
      </c>
      <c r="F47" s="30">
        <v>0.26041666666666669</v>
      </c>
      <c r="G47" s="31">
        <v>46115</v>
      </c>
      <c r="H47" s="29" t="s">
        <v>96</v>
      </c>
      <c r="I47" s="29" t="s">
        <v>40</v>
      </c>
      <c r="J47" s="12" t="s">
        <v>11</v>
      </c>
      <c r="K47" s="12" t="s">
        <v>11</v>
      </c>
      <c r="L47" s="13">
        <v>26</v>
      </c>
      <c r="M47" s="13">
        <v>0</v>
      </c>
      <c r="N47" s="13">
        <v>0</v>
      </c>
      <c r="O47" s="13">
        <v>26</v>
      </c>
      <c r="P47" s="13">
        <v>0</v>
      </c>
      <c r="Q47" s="13">
        <v>0</v>
      </c>
      <c r="R47" s="13">
        <f t="shared" si="4"/>
        <v>0</v>
      </c>
      <c r="S47" s="13">
        <f t="shared" si="4"/>
        <v>0</v>
      </c>
      <c r="T47" s="13">
        <f t="shared" si="4"/>
        <v>0</v>
      </c>
      <c r="U47" s="32" t="s">
        <v>41</v>
      </c>
    </row>
    <row r="48" spans="1:21" s="33" customFormat="1" ht="32.25" customHeight="1" x14ac:dyDescent="0.2">
      <c r="A48" s="34">
        <v>40</v>
      </c>
      <c r="B48" s="28" t="s">
        <v>46</v>
      </c>
      <c r="C48" s="29" t="s">
        <v>91</v>
      </c>
      <c r="D48" s="28" t="s">
        <v>95</v>
      </c>
      <c r="E48" s="30">
        <v>0.37847222222222227</v>
      </c>
      <c r="F48" s="30">
        <v>0.4513888888888889</v>
      </c>
      <c r="G48" s="31">
        <v>46115</v>
      </c>
      <c r="H48" s="29" t="s">
        <v>96</v>
      </c>
      <c r="I48" s="29" t="s">
        <v>40</v>
      </c>
      <c r="J48" s="12" t="s">
        <v>11</v>
      </c>
      <c r="K48" s="12" t="s">
        <v>11</v>
      </c>
      <c r="L48" s="13">
        <v>16</v>
      </c>
      <c r="M48" s="13">
        <v>0</v>
      </c>
      <c r="N48" s="13">
        <v>1</v>
      </c>
      <c r="O48" s="13">
        <v>16</v>
      </c>
      <c r="P48" s="13">
        <v>0</v>
      </c>
      <c r="Q48" s="13">
        <v>1</v>
      </c>
      <c r="R48" s="13">
        <f t="shared" si="4"/>
        <v>0</v>
      </c>
      <c r="S48" s="13">
        <f t="shared" si="4"/>
        <v>0</v>
      </c>
      <c r="T48" s="13">
        <f t="shared" si="4"/>
        <v>0</v>
      </c>
      <c r="U48" s="32" t="s">
        <v>41</v>
      </c>
    </row>
    <row r="49" spans="1:21" s="33" customFormat="1" ht="32.25" customHeight="1" x14ac:dyDescent="0.2">
      <c r="A49" s="26">
        <v>41</v>
      </c>
      <c r="B49" s="28" t="s">
        <v>46</v>
      </c>
      <c r="C49" s="29" t="s">
        <v>91</v>
      </c>
      <c r="D49" s="28" t="s">
        <v>95</v>
      </c>
      <c r="E49" s="30">
        <v>0.47222222222222227</v>
      </c>
      <c r="F49" s="30">
        <v>0.54513888888888895</v>
      </c>
      <c r="G49" s="31">
        <v>46115</v>
      </c>
      <c r="H49" s="29" t="s">
        <v>96</v>
      </c>
      <c r="I49" s="29" t="s">
        <v>40</v>
      </c>
      <c r="J49" s="12" t="s">
        <v>11</v>
      </c>
      <c r="K49" s="12" t="s">
        <v>11</v>
      </c>
      <c r="L49" s="13">
        <v>20</v>
      </c>
      <c r="M49" s="13">
        <v>0</v>
      </c>
      <c r="N49" s="13">
        <v>0</v>
      </c>
      <c r="O49" s="13">
        <v>20</v>
      </c>
      <c r="P49" s="13">
        <v>0</v>
      </c>
      <c r="Q49" s="13">
        <v>0</v>
      </c>
      <c r="R49" s="13">
        <f t="shared" si="4"/>
        <v>0</v>
      </c>
      <c r="S49" s="13">
        <f t="shared" si="4"/>
        <v>0</v>
      </c>
      <c r="T49" s="13">
        <f t="shared" si="4"/>
        <v>0</v>
      </c>
      <c r="U49" s="32" t="s">
        <v>41</v>
      </c>
    </row>
    <row r="50" spans="1:21" s="33" customFormat="1" ht="32.25" customHeight="1" x14ac:dyDescent="0.2">
      <c r="A50" s="34">
        <v>42</v>
      </c>
      <c r="B50" s="28" t="s">
        <v>46</v>
      </c>
      <c r="C50" s="29" t="s">
        <v>91</v>
      </c>
      <c r="D50" s="28" t="s">
        <v>97</v>
      </c>
      <c r="E50" s="30">
        <v>0.22916666666666666</v>
      </c>
      <c r="F50" s="30">
        <v>0.2951388888888889</v>
      </c>
      <c r="G50" s="31">
        <v>46115</v>
      </c>
      <c r="H50" s="29" t="s">
        <v>98</v>
      </c>
      <c r="I50" s="29" t="s">
        <v>40</v>
      </c>
      <c r="J50" s="12" t="s">
        <v>11</v>
      </c>
      <c r="K50" s="12" t="s">
        <v>11</v>
      </c>
      <c r="L50" s="13">
        <v>12</v>
      </c>
      <c r="M50" s="13">
        <v>0</v>
      </c>
      <c r="N50" s="13">
        <v>1</v>
      </c>
      <c r="O50" s="13">
        <v>12</v>
      </c>
      <c r="P50" s="13">
        <v>0</v>
      </c>
      <c r="Q50" s="13">
        <v>1</v>
      </c>
      <c r="R50" s="13">
        <f t="shared" si="4"/>
        <v>0</v>
      </c>
      <c r="S50" s="13">
        <f t="shared" si="4"/>
        <v>0</v>
      </c>
      <c r="T50" s="13">
        <f t="shared" si="4"/>
        <v>0</v>
      </c>
      <c r="U50" s="32" t="s">
        <v>41</v>
      </c>
    </row>
    <row r="51" spans="1:21" s="33" customFormat="1" ht="32.25" customHeight="1" x14ac:dyDescent="0.2">
      <c r="A51" s="26">
        <v>43</v>
      </c>
      <c r="B51" s="28" t="s">
        <v>46</v>
      </c>
      <c r="C51" s="29" t="s">
        <v>91</v>
      </c>
      <c r="D51" s="28" t="s">
        <v>97</v>
      </c>
      <c r="E51" s="30">
        <v>0.3263888888888889</v>
      </c>
      <c r="F51" s="30">
        <v>0.39930555555555558</v>
      </c>
      <c r="G51" s="31">
        <v>46115</v>
      </c>
      <c r="H51" s="29" t="s">
        <v>98</v>
      </c>
      <c r="I51" s="29" t="s">
        <v>40</v>
      </c>
      <c r="J51" s="12" t="s">
        <v>11</v>
      </c>
      <c r="K51" s="12" t="s">
        <v>11</v>
      </c>
      <c r="L51" s="13">
        <v>15</v>
      </c>
      <c r="M51" s="13">
        <v>5</v>
      </c>
      <c r="N51" s="13">
        <v>1</v>
      </c>
      <c r="O51" s="13">
        <v>15</v>
      </c>
      <c r="P51" s="13">
        <v>5</v>
      </c>
      <c r="Q51" s="13">
        <v>1</v>
      </c>
      <c r="R51" s="13">
        <f t="shared" si="4"/>
        <v>0</v>
      </c>
      <c r="S51" s="13">
        <f t="shared" si="4"/>
        <v>0</v>
      </c>
      <c r="T51" s="13">
        <f t="shared" si="4"/>
        <v>0</v>
      </c>
      <c r="U51" s="32" t="s">
        <v>41</v>
      </c>
    </row>
    <row r="52" spans="1:21" s="33" customFormat="1" ht="32.25" customHeight="1" x14ac:dyDescent="0.2">
      <c r="A52" s="34">
        <v>44</v>
      </c>
      <c r="B52" s="28" t="s">
        <v>46</v>
      </c>
      <c r="C52" s="29" t="s">
        <v>91</v>
      </c>
      <c r="D52" s="28" t="s">
        <v>97</v>
      </c>
      <c r="E52" s="30">
        <v>0.51388888888888895</v>
      </c>
      <c r="F52" s="30">
        <v>0.60763888888888895</v>
      </c>
      <c r="G52" s="31">
        <v>46115</v>
      </c>
      <c r="H52" s="29" t="s">
        <v>98</v>
      </c>
      <c r="I52" s="29" t="s">
        <v>40</v>
      </c>
      <c r="J52" s="12" t="s">
        <v>11</v>
      </c>
      <c r="K52" s="12" t="s">
        <v>11</v>
      </c>
      <c r="L52" s="13">
        <v>12</v>
      </c>
      <c r="M52" s="13">
        <v>0</v>
      </c>
      <c r="N52" s="13">
        <v>1</v>
      </c>
      <c r="O52" s="13">
        <v>12</v>
      </c>
      <c r="P52" s="13">
        <v>0</v>
      </c>
      <c r="Q52" s="13">
        <v>1</v>
      </c>
      <c r="R52" s="13">
        <f t="shared" si="4"/>
        <v>0</v>
      </c>
      <c r="S52" s="13">
        <f t="shared" si="4"/>
        <v>0</v>
      </c>
      <c r="T52" s="13">
        <f t="shared" si="4"/>
        <v>0</v>
      </c>
      <c r="U52" s="32" t="s">
        <v>41</v>
      </c>
    </row>
    <row r="53" spans="1:21" s="33" customFormat="1" ht="32.25" customHeight="1" x14ac:dyDescent="0.2">
      <c r="A53" s="26">
        <v>45</v>
      </c>
      <c r="B53" s="28" t="s">
        <v>46</v>
      </c>
      <c r="C53" s="29" t="s">
        <v>91</v>
      </c>
      <c r="D53" s="28" t="s">
        <v>99</v>
      </c>
      <c r="E53" s="30">
        <v>0.3263888888888889</v>
      </c>
      <c r="F53" s="30">
        <v>0.39930555555555558</v>
      </c>
      <c r="G53" s="31">
        <v>46115</v>
      </c>
      <c r="H53" s="29" t="s">
        <v>49</v>
      </c>
      <c r="I53" s="29" t="s">
        <v>40</v>
      </c>
      <c r="J53" s="12" t="s">
        <v>11</v>
      </c>
      <c r="K53" s="12" t="s">
        <v>11</v>
      </c>
      <c r="L53" s="13">
        <v>14</v>
      </c>
      <c r="M53" s="13">
        <v>1</v>
      </c>
      <c r="N53" s="13">
        <v>0</v>
      </c>
      <c r="O53" s="13">
        <v>14</v>
      </c>
      <c r="P53" s="13">
        <v>1</v>
      </c>
      <c r="Q53" s="13">
        <v>0</v>
      </c>
      <c r="R53" s="13">
        <f t="shared" si="4"/>
        <v>0</v>
      </c>
      <c r="S53" s="13">
        <f t="shared" si="4"/>
        <v>0</v>
      </c>
      <c r="T53" s="13">
        <f t="shared" si="4"/>
        <v>0</v>
      </c>
      <c r="U53" s="32" t="s">
        <v>41</v>
      </c>
    </row>
    <row r="54" spans="1:21" s="33" customFormat="1" ht="32.25" customHeight="1" x14ac:dyDescent="0.2">
      <c r="A54" s="34">
        <v>46</v>
      </c>
      <c r="B54" s="28" t="s">
        <v>46</v>
      </c>
      <c r="C54" s="29" t="s">
        <v>91</v>
      </c>
      <c r="D54" s="28" t="s">
        <v>99</v>
      </c>
      <c r="E54" s="30">
        <v>0.43055555555555558</v>
      </c>
      <c r="F54" s="30">
        <v>0.50347222222222221</v>
      </c>
      <c r="G54" s="31">
        <v>46115</v>
      </c>
      <c r="H54" s="29" t="s">
        <v>49</v>
      </c>
      <c r="I54" s="29" t="s">
        <v>40</v>
      </c>
      <c r="J54" s="12" t="s">
        <v>11</v>
      </c>
      <c r="K54" s="12" t="s">
        <v>11</v>
      </c>
      <c r="L54" s="13">
        <v>11</v>
      </c>
      <c r="M54" s="13">
        <v>0</v>
      </c>
      <c r="N54" s="13">
        <v>0</v>
      </c>
      <c r="O54" s="13">
        <v>11</v>
      </c>
      <c r="P54" s="13">
        <v>0</v>
      </c>
      <c r="Q54" s="13">
        <v>0</v>
      </c>
      <c r="R54" s="13">
        <f t="shared" si="4"/>
        <v>0</v>
      </c>
      <c r="S54" s="13">
        <f t="shared" si="4"/>
        <v>0</v>
      </c>
      <c r="T54" s="13">
        <f t="shared" si="4"/>
        <v>0</v>
      </c>
      <c r="U54" s="32" t="s">
        <v>41</v>
      </c>
    </row>
    <row r="55" spans="1:21" s="33" customFormat="1" ht="32.25" customHeight="1" x14ac:dyDescent="0.2">
      <c r="A55" s="26">
        <v>47</v>
      </c>
      <c r="B55" s="28" t="s">
        <v>46</v>
      </c>
      <c r="C55" s="29" t="s">
        <v>91</v>
      </c>
      <c r="D55" s="28" t="s">
        <v>99</v>
      </c>
      <c r="E55" s="30">
        <v>0.68402777777777779</v>
      </c>
      <c r="F55" s="30">
        <v>0.75694444444444453</v>
      </c>
      <c r="G55" s="31">
        <v>46115</v>
      </c>
      <c r="H55" s="29" t="s">
        <v>49</v>
      </c>
      <c r="I55" s="29" t="s">
        <v>40</v>
      </c>
      <c r="J55" s="12" t="s">
        <v>11</v>
      </c>
      <c r="K55" s="12" t="s">
        <v>11</v>
      </c>
      <c r="L55" s="13">
        <v>7</v>
      </c>
      <c r="M55" s="13">
        <v>12</v>
      </c>
      <c r="N55" s="13">
        <v>0</v>
      </c>
      <c r="O55" s="13">
        <v>7</v>
      </c>
      <c r="P55" s="13">
        <v>12</v>
      </c>
      <c r="Q55" s="13">
        <v>0</v>
      </c>
      <c r="R55" s="13">
        <f t="shared" si="4"/>
        <v>0</v>
      </c>
      <c r="S55" s="13">
        <f t="shared" si="4"/>
        <v>0</v>
      </c>
      <c r="T55" s="13">
        <f t="shared" si="4"/>
        <v>0</v>
      </c>
      <c r="U55" s="32" t="s">
        <v>41</v>
      </c>
    </row>
    <row r="56" spans="1:21" s="33" customFormat="1" ht="32.25" customHeight="1" x14ac:dyDescent="0.2">
      <c r="A56" s="34">
        <v>48</v>
      </c>
      <c r="B56" s="28" t="s">
        <v>58</v>
      </c>
      <c r="C56" s="29" t="s">
        <v>100</v>
      </c>
      <c r="D56" s="28" t="s">
        <v>101</v>
      </c>
      <c r="E56" s="30">
        <v>0.23263888888888887</v>
      </c>
      <c r="F56" s="30">
        <v>0.33680555555555558</v>
      </c>
      <c r="G56" s="31">
        <v>46269</v>
      </c>
      <c r="H56" s="29" t="s">
        <v>102</v>
      </c>
      <c r="I56" s="29" t="s">
        <v>40</v>
      </c>
      <c r="J56" s="12" t="s">
        <v>11</v>
      </c>
      <c r="K56" s="12" t="s">
        <v>11</v>
      </c>
      <c r="L56" s="13">
        <v>4</v>
      </c>
      <c r="M56" s="13">
        <v>1</v>
      </c>
      <c r="N56" s="13">
        <v>0</v>
      </c>
      <c r="O56" s="13">
        <v>4</v>
      </c>
      <c r="P56" s="13">
        <v>1</v>
      </c>
      <c r="Q56" s="13">
        <v>0</v>
      </c>
      <c r="R56" s="13">
        <f>O56-L56</f>
        <v>0</v>
      </c>
      <c r="S56" s="13">
        <f t="shared" si="4"/>
        <v>0</v>
      </c>
      <c r="T56" s="13">
        <f t="shared" si="4"/>
        <v>0</v>
      </c>
      <c r="U56" s="32" t="s">
        <v>103</v>
      </c>
    </row>
    <row r="57" spans="1:21" s="33" customFormat="1" ht="32.25" customHeight="1" x14ac:dyDescent="0.2">
      <c r="A57" s="26">
        <v>49</v>
      </c>
      <c r="B57" s="28" t="s">
        <v>58</v>
      </c>
      <c r="C57" s="29" t="s">
        <v>100</v>
      </c>
      <c r="D57" s="28" t="s">
        <v>101</v>
      </c>
      <c r="E57" s="30">
        <v>0.53125</v>
      </c>
      <c r="F57" s="30">
        <v>0.63541666666666663</v>
      </c>
      <c r="G57" s="31">
        <v>46269</v>
      </c>
      <c r="H57" s="29" t="s">
        <v>102</v>
      </c>
      <c r="I57" s="29" t="s">
        <v>40</v>
      </c>
      <c r="J57" s="12" t="s">
        <v>11</v>
      </c>
      <c r="K57" s="12" t="s">
        <v>11</v>
      </c>
      <c r="L57" s="13">
        <v>14</v>
      </c>
      <c r="M57" s="13">
        <v>2</v>
      </c>
      <c r="N57" s="13">
        <v>0</v>
      </c>
      <c r="O57" s="13">
        <v>14</v>
      </c>
      <c r="P57" s="13">
        <v>2</v>
      </c>
      <c r="Q57" s="13">
        <v>0</v>
      </c>
      <c r="R57" s="13">
        <f>O57-L57</f>
        <v>0</v>
      </c>
      <c r="S57" s="13">
        <f t="shared" si="4"/>
        <v>0</v>
      </c>
      <c r="T57" s="13">
        <f t="shared" si="4"/>
        <v>0</v>
      </c>
      <c r="U57" s="32" t="s">
        <v>41</v>
      </c>
    </row>
    <row r="58" spans="1:21" s="33" customFormat="1" ht="32.25" customHeight="1" x14ac:dyDescent="0.2">
      <c r="A58" s="34">
        <v>50</v>
      </c>
      <c r="B58" s="28" t="s">
        <v>58</v>
      </c>
      <c r="C58" s="29" t="s">
        <v>100</v>
      </c>
      <c r="D58" s="28" t="s">
        <v>101</v>
      </c>
      <c r="E58" s="30">
        <v>0.69791666666666663</v>
      </c>
      <c r="F58" s="30">
        <v>0.80208333333333337</v>
      </c>
      <c r="G58" s="31">
        <v>46269</v>
      </c>
      <c r="H58" s="29" t="s">
        <v>102</v>
      </c>
      <c r="I58" s="29" t="s">
        <v>40</v>
      </c>
      <c r="J58" s="12" t="s">
        <v>11</v>
      </c>
      <c r="K58" s="12" t="s">
        <v>11</v>
      </c>
      <c r="L58" s="13">
        <v>10</v>
      </c>
      <c r="M58" s="13">
        <v>2</v>
      </c>
      <c r="N58" s="13">
        <v>0</v>
      </c>
      <c r="O58" s="13">
        <v>10</v>
      </c>
      <c r="P58" s="13">
        <v>2</v>
      </c>
      <c r="Q58" s="13">
        <v>0</v>
      </c>
      <c r="R58" s="13">
        <f t="shared" ref="R58:T73" si="5">O58-L58</f>
        <v>0</v>
      </c>
      <c r="S58" s="13">
        <f t="shared" si="4"/>
        <v>0</v>
      </c>
      <c r="T58" s="13">
        <f t="shared" si="4"/>
        <v>0</v>
      </c>
      <c r="U58" s="32" t="s">
        <v>104</v>
      </c>
    </row>
    <row r="59" spans="1:21" s="33" customFormat="1" ht="32.25" customHeight="1" x14ac:dyDescent="0.2">
      <c r="A59" s="26">
        <v>51</v>
      </c>
      <c r="B59" s="28" t="s">
        <v>58</v>
      </c>
      <c r="C59" s="29" t="s">
        <v>100</v>
      </c>
      <c r="D59" s="28" t="s">
        <v>105</v>
      </c>
      <c r="E59" s="30">
        <v>0.39930555555555558</v>
      </c>
      <c r="F59" s="30">
        <v>0.50347222222222221</v>
      </c>
      <c r="G59" s="31">
        <v>46269</v>
      </c>
      <c r="H59" s="29" t="s">
        <v>102</v>
      </c>
      <c r="I59" s="29" t="s">
        <v>40</v>
      </c>
      <c r="J59" s="12" t="s">
        <v>11</v>
      </c>
      <c r="K59" s="12" t="s">
        <v>11</v>
      </c>
      <c r="L59" s="13">
        <v>14</v>
      </c>
      <c r="M59" s="13">
        <v>7</v>
      </c>
      <c r="N59" s="13">
        <v>0</v>
      </c>
      <c r="O59" s="13">
        <v>14</v>
      </c>
      <c r="P59" s="13">
        <v>7</v>
      </c>
      <c r="Q59" s="13">
        <v>0</v>
      </c>
      <c r="R59" s="13">
        <f t="shared" si="5"/>
        <v>0</v>
      </c>
      <c r="S59" s="13">
        <f t="shared" si="5"/>
        <v>0</v>
      </c>
      <c r="T59" s="13">
        <f t="shared" si="5"/>
        <v>0</v>
      </c>
      <c r="U59" s="32" t="s">
        <v>41</v>
      </c>
    </row>
    <row r="60" spans="1:21" s="33" customFormat="1" ht="32.25" customHeight="1" x14ac:dyDescent="0.2">
      <c r="A60" s="34">
        <v>52</v>
      </c>
      <c r="B60" s="28" t="s">
        <v>58</v>
      </c>
      <c r="C60" s="29" t="s">
        <v>100</v>
      </c>
      <c r="D60" s="28" t="s">
        <v>105</v>
      </c>
      <c r="E60" s="30">
        <v>0.69791666666666663</v>
      </c>
      <c r="F60" s="30">
        <v>0.80208333333333337</v>
      </c>
      <c r="G60" s="31">
        <v>46269</v>
      </c>
      <c r="H60" s="29" t="s">
        <v>102</v>
      </c>
      <c r="I60" s="29" t="s">
        <v>40</v>
      </c>
      <c r="J60" s="12" t="s">
        <v>11</v>
      </c>
      <c r="K60" s="12" t="s">
        <v>11</v>
      </c>
      <c r="L60" s="13">
        <v>12</v>
      </c>
      <c r="M60" s="13">
        <v>7</v>
      </c>
      <c r="N60" s="13">
        <v>0</v>
      </c>
      <c r="O60" s="13">
        <v>12</v>
      </c>
      <c r="P60" s="13">
        <v>7</v>
      </c>
      <c r="Q60" s="13">
        <v>0</v>
      </c>
      <c r="R60" s="13">
        <f t="shared" si="5"/>
        <v>0</v>
      </c>
      <c r="S60" s="13">
        <f t="shared" si="5"/>
        <v>0</v>
      </c>
      <c r="T60" s="13">
        <f t="shared" si="5"/>
        <v>0</v>
      </c>
      <c r="U60" s="32" t="s">
        <v>41</v>
      </c>
    </row>
    <row r="61" spans="1:21" s="33" customFormat="1" ht="32.25" customHeight="1" x14ac:dyDescent="0.2">
      <c r="A61" s="26">
        <v>53</v>
      </c>
      <c r="B61" s="28" t="s">
        <v>58</v>
      </c>
      <c r="C61" s="29" t="s">
        <v>100</v>
      </c>
      <c r="D61" s="28" t="s">
        <v>106</v>
      </c>
      <c r="E61" s="30">
        <v>0.22569444444444445</v>
      </c>
      <c r="F61" s="30">
        <v>0.3298611111111111</v>
      </c>
      <c r="G61" s="31">
        <v>46269</v>
      </c>
      <c r="H61" s="29" t="s">
        <v>107</v>
      </c>
      <c r="I61" s="29" t="s">
        <v>40</v>
      </c>
      <c r="J61" s="12" t="s">
        <v>11</v>
      </c>
      <c r="K61" s="12" t="s">
        <v>11</v>
      </c>
      <c r="L61" s="13">
        <v>10</v>
      </c>
      <c r="M61" s="13">
        <v>1</v>
      </c>
      <c r="N61" s="13">
        <v>0</v>
      </c>
      <c r="O61" s="13">
        <v>10</v>
      </c>
      <c r="P61" s="13">
        <v>1</v>
      </c>
      <c r="Q61" s="13">
        <v>0</v>
      </c>
      <c r="R61" s="13">
        <f t="shared" si="5"/>
        <v>0</v>
      </c>
      <c r="S61" s="13">
        <f t="shared" si="5"/>
        <v>0</v>
      </c>
      <c r="T61" s="13">
        <f t="shared" si="5"/>
        <v>0</v>
      </c>
      <c r="U61" s="32" t="s">
        <v>41</v>
      </c>
    </row>
    <row r="62" spans="1:21" s="33" customFormat="1" ht="32.25" customHeight="1" x14ac:dyDescent="0.2">
      <c r="A62" s="34">
        <v>54</v>
      </c>
      <c r="B62" s="28" t="s">
        <v>58</v>
      </c>
      <c r="C62" s="29" t="s">
        <v>100</v>
      </c>
      <c r="D62" s="28" t="s">
        <v>106</v>
      </c>
      <c r="E62" s="30">
        <v>0.52083333333333337</v>
      </c>
      <c r="F62" s="30">
        <v>0.625</v>
      </c>
      <c r="G62" s="31">
        <v>46269</v>
      </c>
      <c r="H62" s="29" t="s">
        <v>107</v>
      </c>
      <c r="I62" s="29" t="s">
        <v>40</v>
      </c>
      <c r="J62" s="12" t="s">
        <v>11</v>
      </c>
      <c r="K62" s="12" t="s">
        <v>11</v>
      </c>
      <c r="L62" s="13">
        <v>9</v>
      </c>
      <c r="M62" s="13">
        <v>1</v>
      </c>
      <c r="N62" s="13">
        <v>0</v>
      </c>
      <c r="O62" s="13">
        <v>9</v>
      </c>
      <c r="P62" s="13">
        <v>1</v>
      </c>
      <c r="Q62" s="13">
        <v>0</v>
      </c>
      <c r="R62" s="13">
        <f t="shared" si="5"/>
        <v>0</v>
      </c>
      <c r="S62" s="13">
        <f t="shared" si="5"/>
        <v>0</v>
      </c>
      <c r="T62" s="13">
        <f t="shared" si="5"/>
        <v>0</v>
      </c>
      <c r="U62" s="32" t="s">
        <v>41</v>
      </c>
    </row>
    <row r="63" spans="1:21" s="33" customFormat="1" ht="32.25" customHeight="1" x14ac:dyDescent="0.2">
      <c r="A63" s="26">
        <v>55</v>
      </c>
      <c r="B63" s="28" t="s">
        <v>58</v>
      </c>
      <c r="C63" s="29" t="s">
        <v>100</v>
      </c>
      <c r="D63" s="28" t="s">
        <v>108</v>
      </c>
      <c r="E63" s="30">
        <v>0.41666666666666669</v>
      </c>
      <c r="F63" s="30">
        <v>0.52083333333333337</v>
      </c>
      <c r="G63" s="31">
        <v>46269</v>
      </c>
      <c r="H63" s="29" t="s">
        <v>109</v>
      </c>
      <c r="I63" s="29" t="s">
        <v>40</v>
      </c>
      <c r="J63" s="12" t="s">
        <v>11</v>
      </c>
      <c r="K63" s="12" t="s">
        <v>11</v>
      </c>
      <c r="L63" s="13">
        <v>12</v>
      </c>
      <c r="M63" s="13">
        <v>3</v>
      </c>
      <c r="N63" s="13">
        <v>1</v>
      </c>
      <c r="O63" s="13">
        <v>12</v>
      </c>
      <c r="P63" s="13">
        <v>3</v>
      </c>
      <c r="Q63" s="13">
        <v>1</v>
      </c>
      <c r="R63" s="13">
        <f t="shared" si="5"/>
        <v>0</v>
      </c>
      <c r="S63" s="13">
        <f t="shared" si="5"/>
        <v>0</v>
      </c>
      <c r="T63" s="13">
        <f t="shared" si="5"/>
        <v>0</v>
      </c>
      <c r="U63" s="32" t="s">
        <v>41</v>
      </c>
    </row>
    <row r="64" spans="1:21" s="33" customFormat="1" ht="32.25" customHeight="1" x14ac:dyDescent="0.2">
      <c r="A64" s="34">
        <v>56</v>
      </c>
      <c r="B64" s="28" t="s">
        <v>58</v>
      </c>
      <c r="C64" s="29" t="s">
        <v>100</v>
      </c>
      <c r="D64" s="28" t="s">
        <v>108</v>
      </c>
      <c r="E64" s="30">
        <v>0.5625</v>
      </c>
      <c r="F64" s="30">
        <v>0.66666666666666663</v>
      </c>
      <c r="G64" s="31">
        <v>46269</v>
      </c>
      <c r="H64" s="29" t="s">
        <v>109</v>
      </c>
      <c r="I64" s="29" t="s">
        <v>40</v>
      </c>
      <c r="J64" s="12" t="s">
        <v>11</v>
      </c>
      <c r="K64" s="12" t="s">
        <v>11</v>
      </c>
      <c r="L64" s="13">
        <v>12</v>
      </c>
      <c r="M64" s="13">
        <v>2</v>
      </c>
      <c r="N64" s="13">
        <v>0</v>
      </c>
      <c r="O64" s="13">
        <v>12</v>
      </c>
      <c r="P64" s="13">
        <v>2</v>
      </c>
      <c r="Q64" s="13">
        <v>0</v>
      </c>
      <c r="R64" s="13">
        <f t="shared" si="5"/>
        <v>0</v>
      </c>
      <c r="S64" s="13">
        <f t="shared" si="5"/>
        <v>0</v>
      </c>
      <c r="T64" s="13">
        <f t="shared" si="5"/>
        <v>0</v>
      </c>
      <c r="U64" s="32" t="s">
        <v>41</v>
      </c>
    </row>
    <row r="65" spans="1:21" s="33" customFormat="1" ht="32.25" customHeight="1" x14ac:dyDescent="0.2">
      <c r="A65" s="26">
        <v>57</v>
      </c>
      <c r="B65" s="28" t="s">
        <v>58</v>
      </c>
      <c r="C65" s="29" t="s">
        <v>100</v>
      </c>
      <c r="D65" s="28" t="s">
        <v>110</v>
      </c>
      <c r="E65" s="30">
        <v>0.33333333333333331</v>
      </c>
      <c r="F65" s="30">
        <v>0.4375</v>
      </c>
      <c r="G65" s="31">
        <v>46269</v>
      </c>
      <c r="H65" s="29" t="s">
        <v>111</v>
      </c>
      <c r="I65" s="29" t="s">
        <v>40</v>
      </c>
      <c r="J65" s="12" t="s">
        <v>11</v>
      </c>
      <c r="K65" s="12" t="s">
        <v>11</v>
      </c>
      <c r="L65" s="13">
        <v>15</v>
      </c>
      <c r="M65" s="13">
        <v>4</v>
      </c>
      <c r="N65" s="13">
        <v>0</v>
      </c>
      <c r="O65" s="13">
        <v>15</v>
      </c>
      <c r="P65" s="13">
        <v>4</v>
      </c>
      <c r="Q65" s="13">
        <v>0</v>
      </c>
      <c r="R65" s="13">
        <f t="shared" si="5"/>
        <v>0</v>
      </c>
      <c r="S65" s="13">
        <f t="shared" si="5"/>
        <v>0</v>
      </c>
      <c r="T65" s="13">
        <f t="shared" si="5"/>
        <v>0</v>
      </c>
      <c r="U65" s="32" t="s">
        <v>41</v>
      </c>
    </row>
    <row r="66" spans="1:21" s="33" customFormat="1" ht="32.25" customHeight="1" x14ac:dyDescent="0.2">
      <c r="A66" s="34">
        <v>58</v>
      </c>
      <c r="B66" s="28" t="s">
        <v>58</v>
      </c>
      <c r="C66" s="29" t="s">
        <v>100</v>
      </c>
      <c r="D66" s="28" t="s">
        <v>110</v>
      </c>
      <c r="E66" s="30">
        <v>0.62847222222222221</v>
      </c>
      <c r="F66" s="30">
        <v>0.73263888888888884</v>
      </c>
      <c r="G66" s="31">
        <v>46269</v>
      </c>
      <c r="H66" s="29" t="s">
        <v>111</v>
      </c>
      <c r="I66" s="29" t="s">
        <v>40</v>
      </c>
      <c r="J66" s="12" t="s">
        <v>11</v>
      </c>
      <c r="K66" s="12" t="s">
        <v>11</v>
      </c>
      <c r="L66" s="13">
        <v>17</v>
      </c>
      <c r="M66" s="13">
        <v>0</v>
      </c>
      <c r="N66" s="13">
        <v>0</v>
      </c>
      <c r="O66" s="13">
        <v>17</v>
      </c>
      <c r="P66" s="13">
        <v>0</v>
      </c>
      <c r="Q66" s="13">
        <v>0</v>
      </c>
      <c r="R66" s="13">
        <f t="shared" si="5"/>
        <v>0</v>
      </c>
      <c r="S66" s="13">
        <f t="shared" si="5"/>
        <v>0</v>
      </c>
      <c r="T66" s="13">
        <f t="shared" si="5"/>
        <v>0</v>
      </c>
      <c r="U66" s="32" t="s">
        <v>41</v>
      </c>
    </row>
    <row r="67" spans="1:21" s="33" customFormat="1" ht="32.25" customHeight="1" x14ac:dyDescent="0.2">
      <c r="A67" s="26">
        <v>59</v>
      </c>
      <c r="B67" s="28" t="s">
        <v>58</v>
      </c>
      <c r="C67" s="29" t="s">
        <v>100</v>
      </c>
      <c r="D67" s="28" t="s">
        <v>112</v>
      </c>
      <c r="E67" s="30">
        <v>0.3125</v>
      </c>
      <c r="F67" s="30">
        <v>0.41666666666666669</v>
      </c>
      <c r="G67" s="31">
        <v>46269</v>
      </c>
      <c r="H67" s="29" t="s">
        <v>113</v>
      </c>
      <c r="I67" s="29" t="s">
        <v>40</v>
      </c>
      <c r="J67" s="12" t="s">
        <v>11</v>
      </c>
      <c r="K67" s="12" t="s">
        <v>11</v>
      </c>
      <c r="L67" s="13">
        <v>14</v>
      </c>
      <c r="M67" s="13">
        <v>0</v>
      </c>
      <c r="N67" s="13">
        <v>0</v>
      </c>
      <c r="O67" s="13">
        <v>14</v>
      </c>
      <c r="P67" s="13">
        <v>0</v>
      </c>
      <c r="Q67" s="13">
        <v>0</v>
      </c>
      <c r="R67" s="13">
        <f t="shared" si="5"/>
        <v>0</v>
      </c>
      <c r="S67" s="13">
        <f t="shared" si="5"/>
        <v>0</v>
      </c>
      <c r="T67" s="13">
        <f t="shared" si="5"/>
        <v>0</v>
      </c>
      <c r="U67" s="32" t="s">
        <v>41</v>
      </c>
    </row>
    <row r="68" spans="1:21" s="33" customFormat="1" ht="32.25" customHeight="1" x14ac:dyDescent="0.2">
      <c r="A68" s="34">
        <v>60</v>
      </c>
      <c r="B68" s="28" t="s">
        <v>58</v>
      </c>
      <c r="C68" s="29" t="s">
        <v>100</v>
      </c>
      <c r="D68" s="28" t="s">
        <v>112</v>
      </c>
      <c r="E68" s="30">
        <v>0.46527777777777773</v>
      </c>
      <c r="F68" s="30">
        <v>0.56944444444444442</v>
      </c>
      <c r="G68" s="31">
        <v>46269</v>
      </c>
      <c r="H68" s="29" t="s">
        <v>113</v>
      </c>
      <c r="I68" s="29" t="s">
        <v>40</v>
      </c>
      <c r="J68" s="12" t="s">
        <v>11</v>
      </c>
      <c r="K68" s="12" t="s">
        <v>11</v>
      </c>
      <c r="L68" s="13">
        <v>19</v>
      </c>
      <c r="M68" s="13">
        <v>2</v>
      </c>
      <c r="N68" s="13">
        <v>0</v>
      </c>
      <c r="O68" s="13">
        <v>19</v>
      </c>
      <c r="P68" s="13">
        <v>2</v>
      </c>
      <c r="Q68" s="13">
        <v>0</v>
      </c>
      <c r="R68" s="13">
        <f t="shared" si="5"/>
        <v>0</v>
      </c>
      <c r="S68" s="13">
        <f t="shared" si="5"/>
        <v>0</v>
      </c>
      <c r="T68" s="13">
        <f t="shared" si="5"/>
        <v>0</v>
      </c>
      <c r="U68" s="32" t="s">
        <v>41</v>
      </c>
    </row>
    <row r="69" spans="1:21" s="33" customFormat="1" ht="32.25" customHeight="1" x14ac:dyDescent="0.2">
      <c r="A69" s="26">
        <v>61</v>
      </c>
      <c r="B69" s="28" t="s">
        <v>58</v>
      </c>
      <c r="C69" s="29" t="s">
        <v>100</v>
      </c>
      <c r="D69" s="28" t="s">
        <v>114</v>
      </c>
      <c r="E69" s="30">
        <v>0.2986111111111111</v>
      </c>
      <c r="F69" s="30">
        <v>0.40277777777777773</v>
      </c>
      <c r="G69" s="31">
        <v>46269</v>
      </c>
      <c r="H69" s="29" t="s">
        <v>115</v>
      </c>
      <c r="I69" s="29" t="s">
        <v>40</v>
      </c>
      <c r="J69" s="12" t="s">
        <v>11</v>
      </c>
      <c r="K69" s="12" t="s">
        <v>11</v>
      </c>
      <c r="L69" s="13">
        <v>10</v>
      </c>
      <c r="M69" s="13">
        <v>1</v>
      </c>
      <c r="N69" s="13">
        <v>1</v>
      </c>
      <c r="O69" s="13">
        <v>10</v>
      </c>
      <c r="P69" s="13">
        <v>1</v>
      </c>
      <c r="Q69" s="13">
        <v>1</v>
      </c>
      <c r="R69" s="13">
        <f t="shared" si="5"/>
        <v>0</v>
      </c>
      <c r="S69" s="13">
        <f t="shared" si="5"/>
        <v>0</v>
      </c>
      <c r="T69" s="13">
        <f t="shared" si="5"/>
        <v>0</v>
      </c>
      <c r="U69" s="32" t="s">
        <v>41</v>
      </c>
    </row>
    <row r="70" spans="1:21" s="33" customFormat="1" ht="32.25" customHeight="1" x14ac:dyDescent="0.2">
      <c r="A70" s="34">
        <v>62</v>
      </c>
      <c r="B70" s="28" t="s">
        <v>58</v>
      </c>
      <c r="C70" s="29" t="s">
        <v>100</v>
      </c>
      <c r="D70" s="28" t="s">
        <v>114</v>
      </c>
      <c r="E70" s="30">
        <v>0.4513888888888889</v>
      </c>
      <c r="F70" s="30">
        <v>0.55555555555555558</v>
      </c>
      <c r="G70" s="31">
        <v>46269</v>
      </c>
      <c r="H70" s="29" t="s">
        <v>115</v>
      </c>
      <c r="I70" s="29" t="s">
        <v>40</v>
      </c>
      <c r="J70" s="12" t="s">
        <v>11</v>
      </c>
      <c r="K70" s="12" t="s">
        <v>11</v>
      </c>
      <c r="L70" s="13">
        <v>12</v>
      </c>
      <c r="M70" s="13">
        <v>3</v>
      </c>
      <c r="N70" s="13">
        <v>0</v>
      </c>
      <c r="O70" s="13">
        <v>12</v>
      </c>
      <c r="P70" s="13">
        <v>3</v>
      </c>
      <c r="Q70" s="13">
        <v>0</v>
      </c>
      <c r="R70" s="13">
        <f t="shared" si="5"/>
        <v>0</v>
      </c>
      <c r="S70" s="13">
        <f t="shared" si="5"/>
        <v>0</v>
      </c>
      <c r="T70" s="13">
        <f t="shared" si="5"/>
        <v>0</v>
      </c>
      <c r="U70" s="32" t="s">
        <v>41</v>
      </c>
    </row>
    <row r="71" spans="1:21" s="33" customFormat="1" ht="32.25" customHeight="1" x14ac:dyDescent="0.2">
      <c r="A71" s="26">
        <v>63</v>
      </c>
      <c r="B71" s="28" t="s">
        <v>46</v>
      </c>
      <c r="C71" s="29" t="s">
        <v>47</v>
      </c>
      <c r="D71" s="28" t="s">
        <v>48</v>
      </c>
      <c r="E71" s="30">
        <v>0.20833333333333334</v>
      </c>
      <c r="F71" s="30">
        <v>0.34722222222222227</v>
      </c>
      <c r="G71" s="31">
        <v>46270</v>
      </c>
      <c r="H71" s="29" t="s">
        <v>116</v>
      </c>
      <c r="I71" s="29" t="s">
        <v>40</v>
      </c>
      <c r="J71" s="12" t="s">
        <v>11</v>
      </c>
      <c r="K71" s="12" t="s">
        <v>11</v>
      </c>
      <c r="L71" s="13">
        <v>21</v>
      </c>
      <c r="M71" s="13">
        <v>0</v>
      </c>
      <c r="N71" s="13">
        <v>1</v>
      </c>
      <c r="O71" s="13">
        <v>21</v>
      </c>
      <c r="P71" s="13">
        <v>0</v>
      </c>
      <c r="Q71" s="13">
        <v>1</v>
      </c>
      <c r="R71" s="13">
        <f>O71-L71</f>
        <v>0</v>
      </c>
      <c r="S71" s="13">
        <f t="shared" si="5"/>
        <v>0</v>
      </c>
      <c r="T71" s="13">
        <f t="shared" si="5"/>
        <v>0</v>
      </c>
      <c r="U71" s="32" t="s">
        <v>41</v>
      </c>
    </row>
    <row r="72" spans="1:21" s="33" customFormat="1" ht="32.25" customHeight="1" x14ac:dyDescent="0.2">
      <c r="A72" s="34">
        <v>64</v>
      </c>
      <c r="B72" s="28" t="s">
        <v>46</v>
      </c>
      <c r="C72" s="29" t="s">
        <v>47</v>
      </c>
      <c r="D72" s="28" t="s">
        <v>48</v>
      </c>
      <c r="E72" s="30">
        <v>0.51388888888888895</v>
      </c>
      <c r="F72" s="30">
        <v>0.65277777777777779</v>
      </c>
      <c r="G72" s="31">
        <v>46270</v>
      </c>
      <c r="H72" s="29" t="s">
        <v>116</v>
      </c>
      <c r="I72" s="29" t="s">
        <v>40</v>
      </c>
      <c r="J72" s="12" t="s">
        <v>11</v>
      </c>
      <c r="K72" s="12" t="s">
        <v>11</v>
      </c>
      <c r="L72" s="13">
        <v>6</v>
      </c>
      <c r="M72" s="13">
        <v>0</v>
      </c>
      <c r="N72" s="13">
        <v>0</v>
      </c>
      <c r="O72" s="13">
        <v>6</v>
      </c>
      <c r="P72" s="13">
        <v>0</v>
      </c>
      <c r="Q72" s="13">
        <v>0</v>
      </c>
      <c r="R72" s="13">
        <f>O72-L72</f>
        <v>0</v>
      </c>
      <c r="S72" s="13">
        <f t="shared" si="5"/>
        <v>0</v>
      </c>
      <c r="T72" s="13">
        <f t="shared" si="5"/>
        <v>0</v>
      </c>
      <c r="U72" s="32" t="s">
        <v>41</v>
      </c>
    </row>
    <row r="73" spans="1:21" s="33" customFormat="1" ht="32.25" customHeight="1" x14ac:dyDescent="0.2">
      <c r="A73" s="26">
        <v>65</v>
      </c>
      <c r="B73" s="28" t="s">
        <v>46</v>
      </c>
      <c r="C73" s="29" t="s">
        <v>47</v>
      </c>
      <c r="D73" s="28" t="s">
        <v>48</v>
      </c>
      <c r="E73" s="30">
        <v>0.64583333333333337</v>
      </c>
      <c r="F73" s="30">
        <v>0.77777777777777779</v>
      </c>
      <c r="G73" s="31">
        <v>46270</v>
      </c>
      <c r="H73" s="29" t="s">
        <v>116</v>
      </c>
      <c r="I73" s="29" t="s">
        <v>40</v>
      </c>
      <c r="J73" s="12" t="s">
        <v>11</v>
      </c>
      <c r="K73" s="12" t="s">
        <v>11</v>
      </c>
      <c r="L73" s="13">
        <v>9</v>
      </c>
      <c r="M73" s="13">
        <v>0</v>
      </c>
      <c r="N73" s="13">
        <v>0</v>
      </c>
      <c r="O73" s="13">
        <v>8</v>
      </c>
      <c r="P73" s="13">
        <v>0</v>
      </c>
      <c r="Q73" s="13">
        <v>1</v>
      </c>
      <c r="R73" s="13">
        <f t="shared" ref="R73:T85" si="6">O73-L73</f>
        <v>-1</v>
      </c>
      <c r="S73" s="13">
        <f t="shared" si="5"/>
        <v>0</v>
      </c>
      <c r="T73" s="13">
        <f t="shared" si="5"/>
        <v>1</v>
      </c>
      <c r="U73" s="67" t="s">
        <v>117</v>
      </c>
    </row>
    <row r="74" spans="1:21" s="33" customFormat="1" ht="32.25" customHeight="1" x14ac:dyDescent="0.2">
      <c r="A74" s="34">
        <v>66</v>
      </c>
      <c r="B74" s="28" t="s">
        <v>46</v>
      </c>
      <c r="C74" s="29" t="s">
        <v>47</v>
      </c>
      <c r="D74" s="28" t="s">
        <v>50</v>
      </c>
      <c r="E74" s="30">
        <v>0.16666666666666666</v>
      </c>
      <c r="F74" s="30">
        <v>0.2986111111111111</v>
      </c>
      <c r="G74" s="31">
        <v>46270</v>
      </c>
      <c r="H74" s="29" t="s">
        <v>118</v>
      </c>
      <c r="I74" s="29" t="s">
        <v>40</v>
      </c>
      <c r="J74" s="12" t="s">
        <v>11</v>
      </c>
      <c r="K74" s="12" t="s">
        <v>11</v>
      </c>
      <c r="L74" s="13">
        <v>16</v>
      </c>
      <c r="M74" s="13">
        <v>0</v>
      </c>
      <c r="N74" s="13">
        <v>0</v>
      </c>
      <c r="O74" s="13">
        <v>16</v>
      </c>
      <c r="P74" s="13">
        <v>0</v>
      </c>
      <c r="Q74" s="13">
        <v>0</v>
      </c>
      <c r="R74" s="13">
        <f t="shared" si="6"/>
        <v>0</v>
      </c>
      <c r="S74" s="13">
        <f t="shared" si="6"/>
        <v>0</v>
      </c>
      <c r="T74" s="13">
        <f t="shared" si="6"/>
        <v>0</v>
      </c>
      <c r="U74" s="32" t="s">
        <v>41</v>
      </c>
    </row>
    <row r="75" spans="1:21" s="33" customFormat="1" ht="32.25" customHeight="1" x14ac:dyDescent="0.2">
      <c r="A75" s="26">
        <v>67</v>
      </c>
      <c r="B75" s="28" t="s">
        <v>46</v>
      </c>
      <c r="C75" s="29" t="s">
        <v>47</v>
      </c>
      <c r="D75" s="28" t="s">
        <v>50</v>
      </c>
      <c r="E75" s="30">
        <v>0.30555555555555552</v>
      </c>
      <c r="F75" s="30">
        <v>0.44444444444444442</v>
      </c>
      <c r="G75" s="31">
        <v>46270</v>
      </c>
      <c r="H75" s="29" t="s">
        <v>118</v>
      </c>
      <c r="I75" s="29" t="s">
        <v>40</v>
      </c>
      <c r="J75" s="12" t="s">
        <v>11</v>
      </c>
      <c r="K75" s="12" t="s">
        <v>11</v>
      </c>
      <c r="L75" s="13">
        <v>16</v>
      </c>
      <c r="M75" s="13">
        <v>0</v>
      </c>
      <c r="N75" s="13">
        <v>0</v>
      </c>
      <c r="O75" s="13">
        <v>16</v>
      </c>
      <c r="P75" s="13">
        <v>0</v>
      </c>
      <c r="Q75" s="13">
        <v>0</v>
      </c>
      <c r="R75" s="13">
        <f t="shared" si="6"/>
        <v>0</v>
      </c>
      <c r="S75" s="13">
        <f t="shared" si="6"/>
        <v>0</v>
      </c>
      <c r="T75" s="13">
        <f t="shared" si="6"/>
        <v>0</v>
      </c>
      <c r="U75" s="32" t="s">
        <v>41</v>
      </c>
    </row>
    <row r="76" spans="1:21" s="33" customFormat="1" ht="32.25" customHeight="1" x14ac:dyDescent="0.2">
      <c r="A76" s="34">
        <v>68</v>
      </c>
      <c r="B76" s="28" t="s">
        <v>46</v>
      </c>
      <c r="C76" s="29" t="s">
        <v>47</v>
      </c>
      <c r="D76" s="28" t="s">
        <v>50</v>
      </c>
      <c r="E76" s="30">
        <v>0.59722222222222221</v>
      </c>
      <c r="F76" s="30">
        <v>0.72916666666666663</v>
      </c>
      <c r="G76" s="31">
        <v>46270</v>
      </c>
      <c r="H76" s="29" t="s">
        <v>118</v>
      </c>
      <c r="I76" s="29" t="s">
        <v>40</v>
      </c>
      <c r="J76" s="12" t="s">
        <v>11</v>
      </c>
      <c r="K76" s="12" t="s">
        <v>11</v>
      </c>
      <c r="L76" s="13">
        <v>7</v>
      </c>
      <c r="M76" s="13">
        <v>0</v>
      </c>
      <c r="N76" s="13">
        <v>0</v>
      </c>
      <c r="O76" s="13">
        <v>7</v>
      </c>
      <c r="P76" s="13">
        <v>0</v>
      </c>
      <c r="Q76" s="13">
        <v>0</v>
      </c>
      <c r="R76" s="13">
        <f t="shared" si="6"/>
        <v>0</v>
      </c>
      <c r="S76" s="13">
        <f t="shared" si="6"/>
        <v>0</v>
      </c>
      <c r="T76" s="13">
        <f t="shared" si="6"/>
        <v>0</v>
      </c>
      <c r="U76" s="32" t="s">
        <v>41</v>
      </c>
    </row>
    <row r="77" spans="1:21" s="33" customFormat="1" ht="32.25" customHeight="1" x14ac:dyDescent="0.2">
      <c r="A77" s="26">
        <v>69</v>
      </c>
      <c r="B77" s="28" t="s">
        <v>46</v>
      </c>
      <c r="C77" s="29" t="s">
        <v>47</v>
      </c>
      <c r="D77" s="28" t="s">
        <v>52</v>
      </c>
      <c r="E77" s="30">
        <v>0.28472222222222221</v>
      </c>
      <c r="F77" s="30">
        <v>0.4236111111111111</v>
      </c>
      <c r="G77" s="31">
        <v>46270</v>
      </c>
      <c r="H77" s="29" t="s">
        <v>53</v>
      </c>
      <c r="I77" s="29" t="s">
        <v>40</v>
      </c>
      <c r="J77" s="12" t="s">
        <v>11</v>
      </c>
      <c r="K77" s="12" t="s">
        <v>11</v>
      </c>
      <c r="L77" s="13">
        <v>14</v>
      </c>
      <c r="M77" s="13">
        <v>2</v>
      </c>
      <c r="N77" s="13">
        <v>1</v>
      </c>
      <c r="O77" s="13">
        <v>14</v>
      </c>
      <c r="P77" s="13">
        <v>2</v>
      </c>
      <c r="Q77" s="13">
        <v>1</v>
      </c>
      <c r="R77" s="13">
        <f t="shared" si="6"/>
        <v>0</v>
      </c>
      <c r="S77" s="13">
        <f t="shared" si="6"/>
        <v>0</v>
      </c>
      <c r="T77" s="13">
        <f t="shared" si="6"/>
        <v>0</v>
      </c>
      <c r="U77" s="32" t="s">
        <v>41</v>
      </c>
    </row>
    <row r="78" spans="1:21" s="33" customFormat="1" ht="32.25" customHeight="1" x14ac:dyDescent="0.2">
      <c r="A78" s="34">
        <v>70</v>
      </c>
      <c r="B78" s="28" t="s">
        <v>46</v>
      </c>
      <c r="C78" s="29" t="s">
        <v>47</v>
      </c>
      <c r="D78" s="28" t="s">
        <v>52</v>
      </c>
      <c r="E78" s="30">
        <v>0.43055555555555558</v>
      </c>
      <c r="F78" s="30">
        <v>0.56944444444444442</v>
      </c>
      <c r="G78" s="31">
        <v>46270</v>
      </c>
      <c r="H78" s="29" t="s">
        <v>53</v>
      </c>
      <c r="I78" s="29" t="s">
        <v>40</v>
      </c>
      <c r="J78" s="12" t="s">
        <v>11</v>
      </c>
      <c r="K78" s="12" t="s">
        <v>11</v>
      </c>
      <c r="L78" s="13">
        <v>13</v>
      </c>
      <c r="M78" s="13">
        <v>3</v>
      </c>
      <c r="N78" s="13">
        <v>2</v>
      </c>
      <c r="O78" s="13">
        <v>13</v>
      </c>
      <c r="P78" s="13">
        <v>3</v>
      </c>
      <c r="Q78" s="13">
        <v>2</v>
      </c>
      <c r="R78" s="13">
        <f t="shared" si="6"/>
        <v>0</v>
      </c>
      <c r="S78" s="13">
        <f t="shared" si="6"/>
        <v>0</v>
      </c>
      <c r="T78" s="13">
        <f t="shared" si="6"/>
        <v>0</v>
      </c>
      <c r="U78" s="32" t="s">
        <v>41</v>
      </c>
    </row>
    <row r="79" spans="1:21" s="33" customFormat="1" ht="32.25" customHeight="1" x14ac:dyDescent="0.2">
      <c r="A79" s="26">
        <v>71</v>
      </c>
      <c r="B79" s="28" t="s">
        <v>46</v>
      </c>
      <c r="C79" s="29" t="s">
        <v>47</v>
      </c>
      <c r="D79" s="28" t="s">
        <v>52</v>
      </c>
      <c r="E79" s="30">
        <v>0.58333333333333337</v>
      </c>
      <c r="F79" s="30">
        <v>0.71527777777777779</v>
      </c>
      <c r="G79" s="31">
        <v>46270</v>
      </c>
      <c r="H79" s="29" t="s">
        <v>53</v>
      </c>
      <c r="I79" s="29" t="s">
        <v>40</v>
      </c>
      <c r="J79" s="12" t="s">
        <v>11</v>
      </c>
      <c r="K79" s="12" t="s">
        <v>11</v>
      </c>
      <c r="L79" s="13">
        <v>6</v>
      </c>
      <c r="M79" s="13">
        <v>5</v>
      </c>
      <c r="N79" s="13">
        <v>0</v>
      </c>
      <c r="O79" s="13">
        <v>6</v>
      </c>
      <c r="P79" s="13">
        <v>5</v>
      </c>
      <c r="Q79" s="13">
        <v>0</v>
      </c>
      <c r="R79" s="13">
        <f t="shared" si="6"/>
        <v>0</v>
      </c>
      <c r="S79" s="13">
        <f t="shared" si="6"/>
        <v>0</v>
      </c>
      <c r="T79" s="13">
        <f t="shared" si="6"/>
        <v>0</v>
      </c>
      <c r="U79" s="32" t="s">
        <v>41</v>
      </c>
    </row>
    <row r="80" spans="1:21" s="33" customFormat="1" ht="32.25" customHeight="1" x14ac:dyDescent="0.2">
      <c r="A80" s="34">
        <v>72</v>
      </c>
      <c r="B80" s="28" t="s">
        <v>46</v>
      </c>
      <c r="C80" s="29" t="s">
        <v>47</v>
      </c>
      <c r="D80" s="28" t="s">
        <v>54</v>
      </c>
      <c r="E80" s="30">
        <v>0.28472222222222221</v>
      </c>
      <c r="F80" s="30">
        <v>0.4236111111111111</v>
      </c>
      <c r="G80" s="31">
        <v>46270</v>
      </c>
      <c r="H80" s="29" t="s">
        <v>55</v>
      </c>
      <c r="I80" s="29" t="s">
        <v>40</v>
      </c>
      <c r="J80" s="12" t="s">
        <v>11</v>
      </c>
      <c r="K80" s="12" t="s">
        <v>11</v>
      </c>
      <c r="L80" s="13">
        <v>20</v>
      </c>
      <c r="M80" s="13">
        <v>1</v>
      </c>
      <c r="N80" s="13">
        <v>0</v>
      </c>
      <c r="O80" s="13">
        <v>20</v>
      </c>
      <c r="P80" s="13">
        <v>1</v>
      </c>
      <c r="Q80" s="13">
        <v>0</v>
      </c>
      <c r="R80" s="13">
        <f t="shared" si="6"/>
        <v>0</v>
      </c>
      <c r="S80" s="13">
        <f t="shared" si="6"/>
        <v>0</v>
      </c>
      <c r="T80" s="13">
        <f t="shared" si="6"/>
        <v>0</v>
      </c>
      <c r="U80" s="32" t="s">
        <v>41</v>
      </c>
    </row>
    <row r="81" spans="1:21" s="33" customFormat="1" ht="32.25" customHeight="1" x14ac:dyDescent="0.2">
      <c r="A81" s="26">
        <v>73</v>
      </c>
      <c r="B81" s="28" t="s">
        <v>46</v>
      </c>
      <c r="C81" s="29" t="s">
        <v>47</v>
      </c>
      <c r="D81" s="28" t="s">
        <v>54</v>
      </c>
      <c r="E81" s="30">
        <v>0.43055555555555558</v>
      </c>
      <c r="F81" s="30">
        <v>0.56944444444444442</v>
      </c>
      <c r="G81" s="31">
        <v>46270</v>
      </c>
      <c r="H81" s="29" t="s">
        <v>55</v>
      </c>
      <c r="I81" s="29" t="s">
        <v>40</v>
      </c>
      <c r="J81" s="12" t="s">
        <v>11</v>
      </c>
      <c r="K81" s="12" t="s">
        <v>11</v>
      </c>
      <c r="L81" s="13">
        <v>7</v>
      </c>
      <c r="M81" s="13">
        <v>2</v>
      </c>
      <c r="N81" s="13">
        <v>0</v>
      </c>
      <c r="O81" s="13">
        <v>7</v>
      </c>
      <c r="P81" s="13">
        <v>2</v>
      </c>
      <c r="Q81" s="13">
        <v>0</v>
      </c>
      <c r="R81" s="13">
        <f t="shared" si="6"/>
        <v>0</v>
      </c>
      <c r="S81" s="13">
        <f t="shared" si="6"/>
        <v>0</v>
      </c>
      <c r="T81" s="13">
        <f t="shared" si="6"/>
        <v>0</v>
      </c>
      <c r="U81" s="32" t="s">
        <v>41</v>
      </c>
    </row>
    <row r="82" spans="1:21" s="33" customFormat="1" ht="32.25" customHeight="1" x14ac:dyDescent="0.2">
      <c r="A82" s="34">
        <v>74</v>
      </c>
      <c r="B82" s="28" t="s">
        <v>46</v>
      </c>
      <c r="C82" s="29" t="s">
        <v>47</v>
      </c>
      <c r="D82" s="28" t="s">
        <v>54</v>
      </c>
      <c r="E82" s="30">
        <v>0.58333333333333337</v>
      </c>
      <c r="F82" s="30">
        <v>0.71527777777777779</v>
      </c>
      <c r="G82" s="31">
        <v>46270</v>
      </c>
      <c r="H82" s="29" t="s">
        <v>55</v>
      </c>
      <c r="I82" s="29" t="s">
        <v>40</v>
      </c>
      <c r="J82" s="12" t="s">
        <v>11</v>
      </c>
      <c r="K82" s="12" t="s">
        <v>11</v>
      </c>
      <c r="L82" s="13">
        <v>5</v>
      </c>
      <c r="M82" s="13">
        <v>1</v>
      </c>
      <c r="N82" s="13">
        <v>0</v>
      </c>
      <c r="O82" s="13">
        <v>5</v>
      </c>
      <c r="P82" s="13">
        <v>1</v>
      </c>
      <c r="Q82" s="13">
        <v>0</v>
      </c>
      <c r="R82" s="13">
        <f t="shared" si="6"/>
        <v>0</v>
      </c>
      <c r="S82" s="13">
        <f t="shared" si="6"/>
        <v>0</v>
      </c>
      <c r="T82" s="13">
        <f t="shared" si="6"/>
        <v>0</v>
      </c>
      <c r="U82" s="32" t="s">
        <v>41</v>
      </c>
    </row>
    <row r="83" spans="1:21" s="33" customFormat="1" ht="32.25" customHeight="1" x14ac:dyDescent="0.2">
      <c r="A83" s="26">
        <v>75</v>
      </c>
      <c r="B83" s="28" t="s">
        <v>46</v>
      </c>
      <c r="C83" s="29" t="s">
        <v>47</v>
      </c>
      <c r="D83" s="28" t="s">
        <v>56</v>
      </c>
      <c r="E83" s="30">
        <v>0.30555555555555552</v>
      </c>
      <c r="F83" s="30">
        <v>0.44444444444444442</v>
      </c>
      <c r="G83" s="31">
        <v>46270</v>
      </c>
      <c r="H83" s="29" t="s">
        <v>119</v>
      </c>
      <c r="I83" s="29" t="s">
        <v>40</v>
      </c>
      <c r="J83" s="12" t="s">
        <v>11</v>
      </c>
      <c r="K83" s="12" t="s">
        <v>11</v>
      </c>
      <c r="L83" s="13">
        <v>14</v>
      </c>
      <c r="M83" s="13">
        <v>0</v>
      </c>
      <c r="N83" s="13">
        <v>0</v>
      </c>
      <c r="O83" s="13">
        <v>14</v>
      </c>
      <c r="P83" s="13">
        <v>0</v>
      </c>
      <c r="Q83" s="13">
        <v>0</v>
      </c>
      <c r="R83" s="13">
        <f t="shared" si="6"/>
        <v>0</v>
      </c>
      <c r="S83" s="13">
        <f t="shared" si="6"/>
        <v>0</v>
      </c>
      <c r="T83" s="13">
        <f t="shared" si="6"/>
        <v>0</v>
      </c>
      <c r="U83" s="32" t="s">
        <v>41</v>
      </c>
    </row>
    <row r="84" spans="1:21" s="33" customFormat="1" ht="32.25" customHeight="1" x14ac:dyDescent="0.2">
      <c r="A84" s="34">
        <v>76</v>
      </c>
      <c r="B84" s="28" t="s">
        <v>46</v>
      </c>
      <c r="C84" s="29" t="s">
        <v>47</v>
      </c>
      <c r="D84" s="28" t="s">
        <v>56</v>
      </c>
      <c r="E84" s="30">
        <v>0.4513888888888889</v>
      </c>
      <c r="F84" s="30">
        <v>0.58333333333333337</v>
      </c>
      <c r="G84" s="31">
        <v>46270</v>
      </c>
      <c r="H84" s="29" t="s">
        <v>119</v>
      </c>
      <c r="I84" s="29" t="s">
        <v>40</v>
      </c>
      <c r="J84" s="12" t="s">
        <v>11</v>
      </c>
      <c r="K84" s="12" t="s">
        <v>11</v>
      </c>
      <c r="L84" s="13">
        <v>20</v>
      </c>
      <c r="M84" s="13">
        <v>1</v>
      </c>
      <c r="N84" s="13">
        <v>0</v>
      </c>
      <c r="O84" s="13">
        <v>20</v>
      </c>
      <c r="P84" s="13">
        <v>1</v>
      </c>
      <c r="Q84" s="13">
        <v>0</v>
      </c>
      <c r="R84" s="13">
        <f t="shared" si="6"/>
        <v>0</v>
      </c>
      <c r="S84" s="13">
        <f t="shared" si="6"/>
        <v>0</v>
      </c>
      <c r="T84" s="13">
        <f t="shared" si="6"/>
        <v>0</v>
      </c>
      <c r="U84" s="32" t="s">
        <v>41</v>
      </c>
    </row>
    <row r="85" spans="1:21" s="33" customFormat="1" ht="32.25" customHeight="1" x14ac:dyDescent="0.2">
      <c r="A85" s="26">
        <v>77</v>
      </c>
      <c r="B85" s="28" t="s">
        <v>46</v>
      </c>
      <c r="C85" s="29" t="s">
        <v>47</v>
      </c>
      <c r="D85" s="28" t="s">
        <v>56</v>
      </c>
      <c r="E85" s="30">
        <v>0.59722222222222221</v>
      </c>
      <c r="F85" s="30">
        <v>0.72916666666666663</v>
      </c>
      <c r="G85" s="31">
        <v>46270</v>
      </c>
      <c r="H85" s="29" t="s">
        <v>119</v>
      </c>
      <c r="I85" s="29" t="s">
        <v>40</v>
      </c>
      <c r="J85" s="12" t="s">
        <v>11</v>
      </c>
      <c r="K85" s="12" t="s">
        <v>11</v>
      </c>
      <c r="L85" s="13">
        <v>14</v>
      </c>
      <c r="M85" s="13">
        <v>3</v>
      </c>
      <c r="N85" s="13">
        <v>0</v>
      </c>
      <c r="O85" s="13">
        <v>14</v>
      </c>
      <c r="P85" s="13">
        <v>3</v>
      </c>
      <c r="Q85" s="13">
        <v>0</v>
      </c>
      <c r="R85" s="13">
        <f t="shared" si="6"/>
        <v>0</v>
      </c>
      <c r="S85" s="13">
        <f t="shared" si="6"/>
        <v>0</v>
      </c>
      <c r="T85" s="13">
        <f t="shared" si="6"/>
        <v>0</v>
      </c>
      <c r="U85" s="32" t="s">
        <v>41</v>
      </c>
    </row>
  </sheetData>
  <mergeCells count="21">
    <mergeCell ref="A1:C1"/>
    <mergeCell ref="D1:R1"/>
    <mergeCell ref="S1:U1"/>
    <mergeCell ref="A2:U2"/>
    <mergeCell ref="A3:H3"/>
    <mergeCell ref="I3:U3"/>
    <mergeCell ref="D4:U5"/>
    <mergeCell ref="A5:B5"/>
    <mergeCell ref="A6:A8"/>
    <mergeCell ref="B6:B8"/>
    <mergeCell ref="C6:C8"/>
    <mergeCell ref="D6:D8"/>
    <mergeCell ref="E6:G7"/>
    <mergeCell ref="H6:I7"/>
    <mergeCell ref="J6:J8"/>
    <mergeCell ref="K6:K8"/>
    <mergeCell ref="L6:T6"/>
    <mergeCell ref="U6:U8"/>
    <mergeCell ref="L7:N7"/>
    <mergeCell ref="O7:Q7"/>
    <mergeCell ref="R7:T7"/>
  </mergeCells>
  <conditionalFormatting sqref="C86:C1048576 D1 C4:C5">
    <cfRule type="duplicateValues" dxfId="1" priority="2"/>
  </conditionalFormatting>
  <conditionalFormatting sqref="A3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BCTH.HKVP</vt:lpstr>
      <vt:lpstr>BCCT.HKVP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2026-09-06T13:24:14Z</dcterms:modified>
</cp:coreProperties>
</file>